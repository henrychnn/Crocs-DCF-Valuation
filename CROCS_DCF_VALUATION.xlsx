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ucdavis365-my.sharepoint.com/personal/hecchen_ucdavis_edu/Documents/"/>
    </mc:Choice>
  </mc:AlternateContent>
  <xr:revisionPtr revIDLastSave="1446" documentId="8_{5E72C058-1255-4801-A39F-C37F62B1CEDB}" xr6:coauthVersionLast="47" xr6:coauthVersionMax="47" xr10:uidLastSave="{F69433CD-C8A6-44AF-A632-8D8A61C7A444}"/>
  <bookViews>
    <workbookView xWindow="19095" yWindow="0" windowWidth="19410" windowHeight="20985" tabRatio="727" xr2:uid="{87350524-2521-4100-B9DE-CF81E355B56F}"/>
  </bookViews>
  <sheets>
    <sheet name="Data" sheetId="1" r:id="rId1"/>
    <sheet name="Assumptions" sheetId="2" r:id="rId2"/>
    <sheet name="Income Statement" sheetId="3" r:id="rId3"/>
    <sheet name="FCF &amp; DCF" sheetId="4" r:id="rId4"/>
    <sheet name="WACC" sheetId="5" r:id="rId5"/>
    <sheet name="Sensitivity Analysis" sheetId="6" r:id="rId6"/>
    <sheet name="Valuation Summary"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3" l="1"/>
  <c r="B15" i="7"/>
  <c r="B14" i="7"/>
  <c r="B42" i="4"/>
  <c r="B38" i="4"/>
  <c r="B37" i="4"/>
  <c r="B26" i="5"/>
  <c r="B28" i="5" s="1"/>
  <c r="B70" i="1"/>
  <c r="B59" i="1"/>
  <c r="B55" i="1"/>
  <c r="B56" i="1" s="1"/>
  <c r="B50" i="1"/>
  <c r="B46" i="4"/>
  <c r="B7" i="7" s="1"/>
  <c r="B25" i="5"/>
  <c r="B18" i="5"/>
  <c r="B16" i="5"/>
  <c r="B17" i="5" s="1"/>
  <c r="B19" i="5" s="1"/>
  <c r="B9" i="5"/>
  <c r="C37" i="1"/>
  <c r="C38" i="1" s="1"/>
  <c r="C11" i="2"/>
  <c r="C12" i="2" s="1"/>
  <c r="B24" i="2" s="1"/>
  <c r="D38" i="1"/>
  <c r="E37" i="1"/>
  <c r="D11" i="2" s="1"/>
  <c r="D12" i="2" s="1"/>
  <c r="D37" i="1"/>
  <c r="B11" i="4"/>
  <c r="B10" i="4"/>
  <c r="D7" i="4"/>
  <c r="E7" i="4"/>
  <c r="F7" i="4"/>
  <c r="G7" i="4"/>
  <c r="C7" i="4"/>
  <c r="B7" i="4"/>
  <c r="B11" i="3"/>
  <c r="B9" i="3"/>
  <c r="B6" i="4" s="1"/>
  <c r="D8" i="3"/>
  <c r="E8" i="3"/>
  <c r="F8" i="3"/>
  <c r="G8" i="3"/>
  <c r="C8" i="3"/>
  <c r="B6" i="3"/>
  <c r="B50" i="2"/>
  <c r="C22" i="2"/>
  <c r="D22" i="2"/>
  <c r="E22" i="2"/>
  <c r="F22" i="2"/>
  <c r="B22" i="2"/>
  <c r="B41" i="2"/>
  <c r="B42" i="2" s="1"/>
  <c r="B43" i="2" s="1"/>
  <c r="B32" i="2"/>
  <c r="C32" i="2" s="1"/>
  <c r="D32" i="2" s="1"/>
  <c r="E32" i="2" s="1"/>
  <c r="F32" i="2" s="1"/>
  <c r="G32" i="2" s="1"/>
  <c r="B31" i="2"/>
  <c r="C31" i="2" s="1"/>
  <c r="D31" i="2" s="1"/>
  <c r="C10" i="2"/>
  <c r="D10" i="2"/>
  <c r="B10" i="2"/>
  <c r="C9" i="2"/>
  <c r="D9" i="2"/>
  <c r="B9" i="2"/>
  <c r="C8" i="2"/>
  <c r="D8" i="2"/>
  <c r="B8" i="2"/>
  <c r="C7" i="2"/>
  <c r="D7" i="2"/>
  <c r="B8" i="3" s="1"/>
  <c r="B7" i="2"/>
  <c r="B6" i="2"/>
  <c r="B19" i="1"/>
  <c r="D6" i="2"/>
  <c r="B7" i="3" s="1"/>
  <c r="C6" i="2"/>
  <c r="D19" i="1"/>
  <c r="E19" i="1"/>
  <c r="C19" i="1"/>
  <c r="E24" i="2" l="1"/>
  <c r="F24" i="2"/>
  <c r="C24" i="2"/>
  <c r="D24" i="2"/>
  <c r="B71" i="1"/>
  <c r="B11" i="2"/>
  <c r="B12" i="2" s="1"/>
  <c r="E38" i="1"/>
  <c r="B12" i="4"/>
  <c r="B33" i="2"/>
  <c r="C33" i="2"/>
  <c r="D33" i="2"/>
  <c r="E31" i="2"/>
  <c r="F31" i="2" s="1"/>
  <c r="B19" i="2" l="1"/>
  <c r="C6" i="3"/>
  <c r="B23" i="2"/>
  <c r="C11" i="4" s="1"/>
  <c r="C10" i="4"/>
  <c r="D11" i="4"/>
  <c r="D10" i="4"/>
  <c r="D6" i="3"/>
  <c r="B27" i="5"/>
  <c r="B30" i="5" s="1"/>
  <c r="B23" i="4" s="1"/>
  <c r="B13" i="7" s="1"/>
  <c r="C19" i="2"/>
  <c r="G31" i="2"/>
  <c r="G33" i="2" s="1"/>
  <c r="F33" i="2"/>
  <c r="E33" i="2"/>
  <c r="F10" i="4" l="1"/>
  <c r="F6" i="3"/>
  <c r="F11" i="4"/>
  <c r="G10" i="4"/>
  <c r="G11" i="4"/>
  <c r="G6" i="3"/>
  <c r="D7" i="3"/>
  <c r="D12" i="4"/>
  <c r="D9" i="3"/>
  <c r="D6" i="4" s="1"/>
  <c r="D8" i="4" s="1"/>
  <c r="C7" i="3"/>
  <c r="C12" i="4"/>
  <c r="C13" i="4" s="1"/>
  <c r="C9" i="3"/>
  <c r="C6" i="4" s="1"/>
  <c r="C8" i="4" s="1"/>
  <c r="C15" i="4" s="1"/>
  <c r="D19" i="2"/>
  <c r="E6" i="3"/>
  <c r="E11" i="4"/>
  <c r="E10" i="4"/>
  <c r="F20" i="4"/>
  <c r="B20" i="4"/>
  <c r="C20" i="4"/>
  <c r="G20" i="4"/>
  <c r="D20" i="4"/>
  <c r="E20" i="4"/>
  <c r="E19" i="2"/>
  <c r="F19" i="2"/>
  <c r="D13" i="4" l="1"/>
  <c r="D15" i="4"/>
  <c r="D21" i="4" s="1"/>
  <c r="C21" i="4"/>
  <c r="B16" i="7"/>
  <c r="G7" i="3"/>
  <c r="G12" i="4"/>
  <c r="G9" i="3"/>
  <c r="G6" i="4" s="1"/>
  <c r="F7" i="3"/>
  <c r="F12" i="4"/>
  <c r="F13" i="4" s="1"/>
  <c r="F9" i="3"/>
  <c r="F6" i="4" s="1"/>
  <c r="F8" i="4" s="1"/>
  <c r="E7" i="3"/>
  <c r="E12" i="4"/>
  <c r="E13" i="4" s="1"/>
  <c r="E9" i="3"/>
  <c r="E6" i="4" s="1"/>
  <c r="E8" i="4" s="1"/>
  <c r="F15" i="4" l="1"/>
  <c r="F21" i="4" s="1"/>
  <c r="E15" i="4"/>
  <c r="E21" i="4" s="1"/>
  <c r="G8" i="4"/>
  <c r="B51" i="4"/>
  <c r="G13" i="4"/>
  <c r="G15" i="4" l="1"/>
  <c r="B30" i="4" l="1"/>
  <c r="G21" i="4"/>
  <c r="B25" i="4" s="1"/>
  <c r="B31" i="4" l="1"/>
  <c r="B33" i="4" s="1"/>
  <c r="B40" i="4" s="1"/>
  <c r="B44" i="4" s="1"/>
  <c r="B52" i="4"/>
  <c r="B17" i="7" s="1"/>
  <c r="B6" i="7" l="1"/>
  <c r="B47" i="4"/>
  <c r="B8" i="7" s="1"/>
  <c r="B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henry chen</author>
  </authors>
  <commentList>
    <comment ref="A21" authorId="0" shapeId="0" xr:uid="{8908A7A6-2ACE-4163-AC27-D31CE74097D1}">
      <text>
        <r>
          <rPr>
            <b/>
            <sz val="9"/>
            <color indexed="81"/>
            <rFont val="Tahoma"/>
            <family val="2"/>
          </rPr>
          <t>henry chen:</t>
        </r>
        <r>
          <rPr>
            <sz val="9"/>
            <color indexed="81"/>
            <rFont val="Tahoma"/>
            <family val="2"/>
          </rPr>
          <t xml:space="preserve">
23% forecast tax rate is a normalized assumption</t>
        </r>
      </text>
    </comment>
    <comment ref="C35" authorId="0" shapeId="0" xr:uid="{744A8492-8A79-447C-A1CE-6FB9DBB89077}">
      <text>
        <r>
          <rPr>
            <b/>
            <sz val="9"/>
            <color indexed="81"/>
            <rFont val="Tahoma"/>
            <family val="2"/>
          </rPr>
          <t>henry chen:</t>
        </r>
        <r>
          <rPr>
            <sz val="9"/>
            <color indexed="81"/>
            <rFont val="Tahoma"/>
            <family val="2"/>
          </rPr>
          <t xml:space="preserve">
Management projected 2026 growth of 2%-3%, using the midpoint, 2.5%</t>
        </r>
      </text>
    </comment>
    <comment ref="C36" authorId="0" shapeId="0" xr:uid="{FDEBD211-4DCE-4EE1-ACD2-6DDDBDE9E4B7}">
      <text>
        <r>
          <rPr>
            <b/>
            <sz val="9"/>
            <color indexed="81"/>
            <rFont val="Tahoma"/>
            <family val="2"/>
          </rPr>
          <t>henry chen:</t>
        </r>
        <r>
          <rPr>
            <sz val="9"/>
            <color indexed="81"/>
            <rFont val="Tahoma"/>
            <family val="2"/>
          </rPr>
          <t xml:space="preserve">
HEYDUDE revenue is expected to decline 2% to 4% in 2026. Will use the midpoint, -3.00% as preliminary forecast</t>
        </r>
      </text>
    </comment>
    <comment ref="A39" authorId="0" shapeId="0" xr:uid="{2DD80F3A-C24D-4CF9-BDD7-00D67750E822}">
      <text>
        <r>
          <rPr>
            <b/>
            <sz val="9"/>
            <color indexed="81"/>
            <rFont val="Tahoma"/>
            <family val="2"/>
          </rPr>
          <t>henry chen:</t>
        </r>
        <r>
          <rPr>
            <sz val="9"/>
            <color indexed="81"/>
            <rFont val="Tahoma"/>
            <family val="2"/>
          </rPr>
          <t xml:space="preserve">
Adjusted 2025 EBIT to remove the unusual impairment charges</t>
        </r>
      </text>
    </comment>
    <comment ref="A46" authorId="0" shapeId="0" xr:uid="{93D410D0-088A-43D3-98E5-585DCDB2C312}">
      <text>
        <r>
          <rPr>
            <b/>
            <sz val="9"/>
            <color indexed="81"/>
            <rFont val="Tahoma"/>
            <family val="2"/>
          </rPr>
          <t>henry chen:</t>
        </r>
        <r>
          <rPr>
            <sz val="9"/>
            <color indexed="81"/>
            <rFont val="Tahoma"/>
            <family val="2"/>
          </rPr>
          <t xml:space="preserve">
"For 2026, we expect:
Capital Expenditures of $70 million to 80 million"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henry chen</author>
  </authors>
  <commentList>
    <comment ref="A9" authorId="0" shapeId="0" xr:uid="{D54FE56D-481C-4B29-AD03-787B1C88AA76}">
      <text>
        <r>
          <rPr>
            <b/>
            <sz val="9"/>
            <color indexed="81"/>
            <rFont val="Tahoma"/>
            <family val="2"/>
          </rPr>
          <t>henry chen:</t>
        </r>
        <r>
          <rPr>
            <sz val="9"/>
            <color indexed="81"/>
            <rFont val="Tahoma"/>
            <family val="2"/>
          </rPr>
          <t xml:space="preserve">
EBIT = Revenue * EBIT Margin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henry chen</author>
  </authors>
  <commentList>
    <comment ref="A8" authorId="0" shapeId="0" xr:uid="{7886996F-C04F-48B7-B7A2-3D8D0FBBD9F9}">
      <text>
        <r>
          <rPr>
            <b/>
            <sz val="9"/>
            <color indexed="81"/>
            <rFont val="Tahoma"/>
            <family val="2"/>
          </rPr>
          <t>henry chen:</t>
        </r>
        <r>
          <rPr>
            <sz val="9"/>
            <color indexed="81"/>
            <rFont val="Tahoma"/>
            <family val="2"/>
          </rPr>
          <t xml:space="preserve">
NOPAT=EBIT * (1-Tax Rate)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henry chen</author>
  </authors>
  <commentList>
    <comment ref="B6" authorId="0" shapeId="0" xr:uid="{B543AE97-541C-443C-A618-235C00FE1286}">
      <text>
        <r>
          <rPr>
            <b/>
            <sz val="9"/>
            <color indexed="81"/>
            <rFont val="Tahoma"/>
            <family val="2"/>
          </rPr>
          <t>henry chen:</t>
        </r>
        <r>
          <rPr>
            <sz val="9"/>
            <color indexed="81"/>
            <rFont val="Tahoma"/>
            <family val="2"/>
          </rPr>
          <t xml:space="preserve">
20-year U.S. Treasury yield, December 31, 2025
Source: U.S. Department of the Treasury</t>
        </r>
      </text>
    </comment>
    <comment ref="B7" authorId="0" shapeId="0" xr:uid="{B4904CD2-4CFA-4761-810A-AAFCFA13BDA4}">
      <text>
        <r>
          <rPr>
            <b/>
            <sz val="9"/>
            <color indexed="81"/>
            <rFont val="Tahoma"/>
            <family val="2"/>
          </rPr>
          <t>henry chen:</t>
        </r>
        <r>
          <rPr>
            <sz val="9"/>
            <color indexed="81"/>
            <rFont val="Tahoma"/>
            <family val="2"/>
          </rPr>
          <t xml:space="preserve">
Per Yahoo Finance</t>
        </r>
      </text>
    </comment>
    <comment ref="B8" authorId="0" shapeId="0" xr:uid="{43BE07FC-3A83-4C72-BC6B-EAF3DEBEAA12}">
      <text>
        <r>
          <rPr>
            <b/>
            <sz val="9"/>
            <color indexed="81"/>
            <rFont val="Tahoma"/>
            <family val="2"/>
          </rPr>
          <t>henry chen:</t>
        </r>
        <r>
          <rPr>
            <sz val="9"/>
            <color indexed="81"/>
            <rFont val="Tahoma"/>
            <family val="2"/>
          </rPr>
          <t xml:space="preserve">
ERP Recommendation from Kroll</t>
        </r>
      </text>
    </comment>
    <comment ref="B14" authorId="0" shapeId="0" xr:uid="{57069CA2-A652-4F47-A0CD-0F11676DDA5F}">
      <text>
        <r>
          <rPr>
            <b/>
            <sz val="9"/>
            <color indexed="81"/>
            <rFont val="Tahoma"/>
            <family val="2"/>
          </rPr>
          <t>henry chen:</t>
        </r>
        <r>
          <rPr>
            <sz val="9"/>
            <color indexed="81"/>
            <rFont val="Tahoma"/>
            <family val="2"/>
          </rPr>
          <t xml:space="preserve">
Source: Crocs 2025 10-K </t>
        </r>
      </text>
    </comment>
  </commentList>
</comments>
</file>

<file path=xl/sharedStrings.xml><?xml version="1.0" encoding="utf-8"?>
<sst xmlns="http://schemas.openxmlformats.org/spreadsheetml/2006/main" count="177" uniqueCount="148">
  <si>
    <t>Crocs Inc. --- Historical Financial Data</t>
  </si>
  <si>
    <t>Income Statement</t>
  </si>
  <si>
    <t>Revenue</t>
  </si>
  <si>
    <t>Operating Income (EBIT)</t>
  </si>
  <si>
    <t>Income Before Taxes</t>
  </si>
  <si>
    <t>Income Tax Expense</t>
  </si>
  <si>
    <t>Cash Flow Statement</t>
  </si>
  <si>
    <t>Depreciation &amp; Amortization</t>
  </si>
  <si>
    <t>Capital Expenditures</t>
  </si>
  <si>
    <t>Balance Sheet</t>
  </si>
  <si>
    <t>Cash &amp; Cash Equivalents</t>
  </si>
  <si>
    <t>Current Assets</t>
  </si>
  <si>
    <t>Current Operating Liabilities</t>
  </si>
  <si>
    <t>$ millions</t>
  </si>
  <si>
    <t>Total Current Liabilites</t>
  </si>
  <si>
    <t>Current Debt &amp; Lease Obligations</t>
  </si>
  <si>
    <t>Crocs Inc -- Financial Assumptions</t>
  </si>
  <si>
    <t>Historical Financial Ratios</t>
  </si>
  <si>
    <t>Revenue Growth</t>
  </si>
  <si>
    <t>EBIT Margin</t>
  </si>
  <si>
    <t>Effective Tax Rate</t>
  </si>
  <si>
    <t>D&amp;A % of Revenue</t>
  </si>
  <si>
    <t>CapEx % of Revenue</t>
  </si>
  <si>
    <t>Net Working Capital</t>
  </si>
  <si>
    <t>NWC % of Revenue</t>
  </si>
  <si>
    <t>Forecast Assumptions</t>
  </si>
  <si>
    <t>Tax Rate</t>
  </si>
  <si>
    <t>Brand-Level Revenue Forecast</t>
  </si>
  <si>
    <t>Crocs Brand Revenue</t>
  </si>
  <si>
    <t>HEYDUDE Revenue</t>
  </si>
  <si>
    <t>Total Revenue</t>
  </si>
  <si>
    <t>Crocs Brand Growth</t>
  </si>
  <si>
    <t>HEYDUDE Brand Growth</t>
  </si>
  <si>
    <t>HEYDUDE Brand Revenue</t>
  </si>
  <si>
    <t>Asset Impairments</t>
  </si>
  <si>
    <t>2025 EBIT Normalization</t>
  </si>
  <si>
    <t>Asset Impairments ($M)</t>
  </si>
  <si>
    <t>Adjusted EBIT Margin</t>
  </si>
  <si>
    <t>2026 CapEx Guidance</t>
  </si>
  <si>
    <t>Midpoint CapEx ($M)</t>
  </si>
  <si>
    <t>Low Spending Estimate ($M)</t>
  </si>
  <si>
    <t>High Spending Estimate ($M)</t>
  </si>
  <si>
    <t>Crocs Inc. -- Projected Income Statement</t>
  </si>
  <si>
    <t>USD Millions ($M)</t>
  </si>
  <si>
    <t>2025 Asset Impairment</t>
  </si>
  <si>
    <t>Crocs Inc. -- Free Cash Flow &amp; DCF Valuation</t>
  </si>
  <si>
    <t>NOPAT</t>
  </si>
  <si>
    <t>Changes in NWC</t>
  </si>
  <si>
    <t>Free Cash Flow to Firm (FCFF)</t>
  </si>
  <si>
    <t>-</t>
  </si>
  <si>
    <t>Operating Working Capital Breakdown</t>
  </si>
  <si>
    <t>Accounts Receivable</t>
  </si>
  <si>
    <t>Inventory</t>
  </si>
  <si>
    <t>Other Receivables</t>
  </si>
  <si>
    <t>Prepaid Expenses &amp; Other Assets</t>
  </si>
  <si>
    <t>Accounts Payable</t>
  </si>
  <si>
    <t>Accrued Expenses &amp; Other Liabilities</t>
  </si>
  <si>
    <t>2024 ($M)</t>
  </si>
  <si>
    <t>2025 ($M)</t>
  </si>
  <si>
    <t>Operating Net Working Capital</t>
  </si>
  <si>
    <t>Operating NWC % of Revenue</t>
  </si>
  <si>
    <t>2023 ($M)</t>
  </si>
  <si>
    <t>Crocs Inc -- WACC Calculation</t>
  </si>
  <si>
    <t>Cost of Equity</t>
  </si>
  <si>
    <t>Risk-Free Rate</t>
  </si>
  <si>
    <t>Equity Beta</t>
  </si>
  <si>
    <t>Equity Risk Premium</t>
  </si>
  <si>
    <t>Cost of Debt</t>
  </si>
  <si>
    <t>Pre-Tax Cost of Debt</t>
  </si>
  <si>
    <t>After-Tax Cost of Debt</t>
  </si>
  <si>
    <t>Capital Structure</t>
  </si>
  <si>
    <t>Share Price ($)</t>
  </si>
  <si>
    <t>Shares Outstanding (Millions)</t>
  </si>
  <si>
    <t>Market Capitalization ($M)</t>
  </si>
  <si>
    <t>Total Capital ($M)</t>
  </si>
  <si>
    <t>Equity Weight</t>
  </si>
  <si>
    <t>Debt Weight</t>
  </si>
  <si>
    <t>Weighted Average Cost of Capital (WACC)</t>
  </si>
  <si>
    <t>USD Millions ($M), unless otherwise noted</t>
  </si>
  <si>
    <t>Total Interest-Bearing Debt ($M)</t>
  </si>
  <si>
    <t>Average Interest Bearing Debt ($M)</t>
  </si>
  <si>
    <t>2024 Total Borrowings ($M)</t>
  </si>
  <si>
    <t>2025 Total Borrowings ($M)</t>
  </si>
  <si>
    <t>2025 Interest Expense ($M)</t>
  </si>
  <si>
    <t>DCF Valuation</t>
  </si>
  <si>
    <t>Discount Period</t>
  </si>
  <si>
    <t>Discount Factor</t>
  </si>
  <si>
    <t>Present Value of FCFF</t>
  </si>
  <si>
    <t>Discount Rate (WACC)</t>
  </si>
  <si>
    <t>Total PV of Forecasted FCFF</t>
  </si>
  <si>
    <t>Terminal Value Calculation</t>
  </si>
  <si>
    <t>Perpetual Growth Rate</t>
  </si>
  <si>
    <t>Terminal Value (2030)</t>
  </si>
  <si>
    <t>PV of Terminal Value</t>
  </si>
  <si>
    <t>Enterprise Value ($M)</t>
  </si>
  <si>
    <t>Equity Value Calculation</t>
  </si>
  <si>
    <t>Cash &amp; Cash Equivalents ($M)</t>
  </si>
  <si>
    <t>Implied Equity Value ($M)</t>
  </si>
  <si>
    <t xml:space="preserve">Implied Share Price </t>
  </si>
  <si>
    <t>Implied Upside / Downside</t>
  </si>
  <si>
    <t>Interest-Bearing Debt ($M)</t>
  </si>
  <si>
    <t>Operating Cash Flow ($M)</t>
  </si>
  <si>
    <t>Capital Expenditures ($M)</t>
  </si>
  <si>
    <t>Free Cash Flow ($M)</t>
  </si>
  <si>
    <t>2026 Interim Cash Flow Data, Six Months Ended June 30, 2026</t>
  </si>
  <si>
    <t>H1 2026 FCFF Reconciliation</t>
  </si>
  <si>
    <t>Operating Income (EBIT) ($M)</t>
  </si>
  <si>
    <t>`</t>
  </si>
  <si>
    <t>Normalized Tax Rate</t>
  </si>
  <si>
    <t>Estimated H1 NOPAT ($M)</t>
  </si>
  <si>
    <t>H1 2026 Depreciation &amp; Amortization ($M)</t>
  </si>
  <si>
    <t>H1 2026 Capital Expenditures ($M)</t>
  </si>
  <si>
    <t>June 2026 Operating Working Capital</t>
  </si>
  <si>
    <t>June 2026 Operating NWC ($M)</t>
  </si>
  <si>
    <t>Change in Operating NWC -- H1 2026 ($M)</t>
  </si>
  <si>
    <t>Crocs Inc. -- DCF Sensitivity Analysis</t>
  </si>
  <si>
    <t>WACC vs. Perpetual Growth Rate</t>
  </si>
  <si>
    <t>WACC</t>
  </si>
  <si>
    <t>2030 EBITDA ($M)</t>
  </si>
  <si>
    <t>Implied Terminal EV/EBITDA</t>
  </si>
  <si>
    <t>Crocs Inc. -- DCF Valuation Summary</t>
  </si>
  <si>
    <t>Valuation Overview</t>
  </si>
  <si>
    <t>Implied Share Price</t>
  </si>
  <si>
    <t>Implied Upside vs. Historical Price</t>
  </si>
  <si>
    <t>Historical Reference Price (Dec. 2025)</t>
  </si>
  <si>
    <t>Key Valuation Assumptions</t>
  </si>
  <si>
    <t>Weighted Average Cost of Capital</t>
  </si>
  <si>
    <t>Perptual Growth Rate</t>
  </si>
  <si>
    <t>2030 EBIT Margin</t>
  </si>
  <si>
    <t>2030 Revenue ($M)</t>
  </si>
  <si>
    <t>Terminal EV/EBITDA</t>
  </si>
  <si>
    <t>2026-Informed Valuation | FY2025 Financial Base</t>
  </si>
  <si>
    <t>Valuation Conclusion</t>
  </si>
  <si>
    <t>While the results suggest potential undervaluation, the valuation depends on Crocs maintaining profitability and generating consistent free cash flow. The analysis also incorporates 2026 guidance, so the upside relative to the historical share price should not be viewed as a current investment return.</t>
  </si>
  <si>
    <t>The forecast assumes modest revenue growth, operating margins stabilizing at 22.5%, and gradually increasing capital expenditures through 2030. Under these assumptions, the model suggests 69.44% upside compared with Crocs' December 2025 share price of $85.52.</t>
  </si>
  <si>
    <t>Note: Sensitivity analysis illustrates changes in implied share price across WACC and perpetual growth assumptions.</t>
  </si>
  <si>
    <t>Total Debt &amp; Lease Liabilities ($M)</t>
  </si>
  <si>
    <t>Source: Crocs Inc. FY2022-FY2025 Form 10-K filings and company earnings releases, USD millions unless otherwised noted.</t>
  </si>
  <si>
    <t xml:space="preserve">Impairment-Adjusted EBIT ($M) </t>
  </si>
  <si>
    <t>Sources : Crocs FY2025 financial results, FY2026 management guidance, and historical financial statements. Forecast assumptions are analyst estimates unless otherwise noted.</t>
  </si>
  <si>
    <t>2025 Impairment-Adjusted EBIT</t>
  </si>
  <si>
    <t>Note: 2025 operating income includes a $738.1M impairment charge. Excluding this charge, EBIT was $887.6M, represening a 21.97% operating margin.</t>
  </si>
  <si>
    <t>Historical Share Price -- December 2025 ($)</t>
  </si>
  <si>
    <t>Note: The unusually high 2025 effective tax rate reflects reported results. Forecasted cash flows use a normalized 23% tax assumption</t>
  </si>
  <si>
    <t>Terminal Valuation Cross-Check</t>
  </si>
  <si>
    <t>Note: Pre-tax cost of debt is estimated using FY2025 interest expense divided by average FY2024-FY2025 interest-bearing borrowings.</t>
  </si>
  <si>
    <t>The DCF analysis estimates Croc's estimated intrinsic value at $144.91 per share, based on a 10.89% WACC and a 2.50% perpetual growth rate.</t>
  </si>
  <si>
    <t>Note: Valuation uses FY2025 financails as the base and incorporates information from 2026. The implied upside is measured against the December 2025 share price, not the current market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</si>
</sst>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6" formatCode="0.0000"/>
    <numFmt numFmtId="167" formatCode="&quot;$&quot;#,##0.00"/>
    <numFmt numFmtId="168" formatCode="0.00\x"/>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1"/>
      <color theme="4"/>
      <name val="Aptos Narrow"/>
      <family val="2"/>
      <scheme val="minor"/>
    </font>
    <font>
      <sz val="11"/>
      <name val="Aptos Narrow"/>
      <family val="2"/>
      <scheme val="minor"/>
    </font>
    <font>
      <sz val="11"/>
      <color theme="9" tint="-0.499984740745262"/>
      <name val="Aptos Narrow"/>
      <family val="2"/>
      <scheme val="minor"/>
    </font>
    <font>
      <b/>
      <sz val="11"/>
      <color theme="0"/>
      <name val="Aptos Narrow"/>
      <family val="2"/>
      <scheme val="minor"/>
    </font>
    <font>
      <sz val="11"/>
      <color theme="0"/>
      <name val="Aptos Narrow"/>
      <family val="2"/>
      <scheme val="minor"/>
    </font>
    <font>
      <b/>
      <sz val="14"/>
      <color theme="0"/>
      <name val="Aptos Narrow"/>
      <family val="2"/>
      <scheme val="minor"/>
    </font>
    <font>
      <i/>
      <sz val="11"/>
      <color theme="0" tint="-0.499984740745262"/>
      <name val="Aptos Narrow"/>
      <family val="2"/>
      <scheme val="minor"/>
    </font>
    <font>
      <b/>
      <sz val="11"/>
      <color theme="9" tint="-0.499984740745262"/>
      <name val="Aptos Narrow"/>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3" tint="9.9978637043366805E-2"/>
        <bgColor indexed="64"/>
      </patternFill>
    </fill>
    <fill>
      <patternFill patternType="solid">
        <fgColor theme="3" tint="0.89999084444715716"/>
        <bgColor indexed="64"/>
      </patternFill>
    </fill>
  </fills>
  <borders count="9">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2">
    <xf numFmtId="0" fontId="0" fillId="0" borderId="0"/>
    <xf numFmtId="9" fontId="1" fillId="0" borderId="0" applyFont="0" applyFill="0" applyBorder="0" applyAlignment="0" applyProtection="0"/>
  </cellStyleXfs>
  <cellXfs count="67">
    <xf numFmtId="0" fontId="0" fillId="0" borderId="0" xfId="0"/>
    <xf numFmtId="0" fontId="2" fillId="0" borderId="0" xfId="0" applyFont="1"/>
    <xf numFmtId="4" fontId="0" fillId="0" borderId="0" xfId="0" applyNumberFormat="1"/>
    <xf numFmtId="164" fontId="0" fillId="0" borderId="0" xfId="0" applyNumberFormat="1"/>
    <xf numFmtId="2" fontId="0" fillId="0" borderId="0" xfId="0" applyNumberFormat="1"/>
    <xf numFmtId="10" fontId="0" fillId="0" borderId="0" xfId="1" applyNumberFormat="1" applyFont="1"/>
    <xf numFmtId="10" fontId="0" fillId="0" borderId="0" xfId="0" applyNumberFormat="1"/>
    <xf numFmtId="0" fontId="5" fillId="0" borderId="0" xfId="0" applyFont="1"/>
    <xf numFmtId="10" fontId="5" fillId="0" borderId="0" xfId="0" applyNumberFormat="1" applyFont="1"/>
    <xf numFmtId="10" fontId="6" fillId="0" borderId="0" xfId="0" applyNumberFormat="1" applyFont="1"/>
    <xf numFmtId="0" fontId="2" fillId="0" borderId="0" xfId="0" applyFont="1" applyAlignment="1">
      <alignment horizontal="center"/>
    </xf>
    <xf numFmtId="1" fontId="2" fillId="0" borderId="1" xfId="0" applyNumberFormat="1" applyFont="1" applyBorder="1" applyAlignment="1">
      <alignment horizontal="center"/>
    </xf>
    <xf numFmtId="4" fontId="7" fillId="0" borderId="0" xfId="0" applyNumberFormat="1" applyFont="1"/>
    <xf numFmtId="10" fontId="7" fillId="0" borderId="0" xfId="0" applyNumberFormat="1" applyFont="1"/>
    <xf numFmtId="2" fontId="7" fillId="0" borderId="0" xfId="0" applyNumberFormat="1" applyFont="1"/>
    <xf numFmtId="2" fontId="2" fillId="0" borderId="0" xfId="0" applyNumberFormat="1" applyFont="1"/>
    <xf numFmtId="0" fontId="2" fillId="0" borderId="1" xfId="0" applyFont="1" applyBorder="1" applyAlignment="1">
      <alignment horizontal="center"/>
    </xf>
    <xf numFmtId="166" fontId="0" fillId="0" borderId="0" xfId="0" applyNumberFormat="1"/>
    <xf numFmtId="0" fontId="0" fillId="0" borderId="2" xfId="0" applyBorder="1"/>
    <xf numFmtId="2" fontId="0" fillId="0" borderId="2" xfId="0" applyNumberFormat="1" applyBorder="1"/>
    <xf numFmtId="0" fontId="2" fillId="0" borderId="2" xfId="0" applyFont="1" applyBorder="1"/>
    <xf numFmtId="0" fontId="0" fillId="0" borderId="1" xfId="0" applyBorder="1"/>
    <xf numFmtId="10" fontId="2" fillId="0" borderId="2" xfId="0" applyNumberFormat="1" applyFont="1" applyBorder="1"/>
    <xf numFmtId="10" fontId="0" fillId="0" borderId="2" xfId="0" applyNumberFormat="1" applyBorder="1"/>
    <xf numFmtId="4" fontId="5" fillId="0" borderId="0" xfId="0" applyNumberFormat="1" applyFont="1"/>
    <xf numFmtId="2" fontId="5" fillId="0" borderId="0" xfId="0" applyNumberFormat="1" applyFont="1"/>
    <xf numFmtId="167" fontId="0" fillId="0" borderId="0" xfId="0" applyNumberFormat="1"/>
    <xf numFmtId="2" fontId="2" fillId="0" borderId="2" xfId="0" applyNumberFormat="1" applyFont="1" applyBorder="1"/>
    <xf numFmtId="4" fontId="2" fillId="0" borderId="2" xfId="0" applyNumberFormat="1" applyFont="1" applyBorder="1"/>
    <xf numFmtId="4" fontId="2" fillId="0" borderId="0" xfId="0" applyNumberFormat="1" applyFont="1"/>
    <xf numFmtId="167" fontId="7" fillId="0" borderId="0" xfId="0" applyNumberFormat="1" applyFont="1"/>
    <xf numFmtId="164" fontId="5" fillId="0" borderId="0" xfId="0" applyNumberFormat="1" applyFont="1"/>
    <xf numFmtId="0" fontId="0" fillId="0" borderId="0" xfId="0" applyAlignment="1">
      <alignment horizontal="center"/>
    </xf>
    <xf numFmtId="167" fontId="5" fillId="0" borderId="0" xfId="0" applyNumberFormat="1" applyFont="1"/>
    <xf numFmtId="0" fontId="10" fillId="3" borderId="0" xfId="0" applyFont="1" applyFill="1" applyAlignment="1">
      <alignment horizontal="center"/>
    </xf>
    <xf numFmtId="167" fontId="8" fillId="3" borderId="0" xfId="0" applyNumberFormat="1" applyFont="1" applyFill="1" applyAlignment="1">
      <alignment horizontal="center"/>
    </xf>
    <xf numFmtId="10" fontId="8" fillId="3" borderId="0" xfId="0" applyNumberFormat="1" applyFont="1" applyFill="1" applyAlignment="1">
      <alignment horizontal="center"/>
    </xf>
    <xf numFmtId="10" fontId="8" fillId="3" borderId="3" xfId="0" applyNumberFormat="1" applyFont="1" applyFill="1" applyBorder="1" applyAlignment="1">
      <alignment horizontal="center"/>
    </xf>
    <xf numFmtId="10" fontId="8" fillId="3" borderId="2" xfId="0" applyNumberFormat="1" applyFont="1" applyFill="1" applyBorder="1" applyAlignment="1">
      <alignment horizontal="center"/>
    </xf>
    <xf numFmtId="10" fontId="8" fillId="3" borderId="4" xfId="0" applyNumberFormat="1" applyFont="1" applyFill="1" applyBorder="1" applyAlignment="1">
      <alignment horizontal="center"/>
    </xf>
    <xf numFmtId="167" fontId="0" fillId="0" borderId="5" xfId="0" applyNumberFormat="1" applyBorder="1"/>
    <xf numFmtId="167" fontId="0" fillId="0" borderId="0" xfId="0" applyNumberFormat="1" applyBorder="1"/>
    <xf numFmtId="167" fontId="0" fillId="0" borderId="6" xfId="0" applyNumberFormat="1" applyBorder="1"/>
    <xf numFmtId="167" fontId="2" fillId="2" borderId="0" xfId="0" applyNumberFormat="1" applyFont="1" applyFill="1" applyBorder="1"/>
    <xf numFmtId="167" fontId="0" fillId="0" borderId="7" xfId="0" applyNumberFormat="1" applyBorder="1"/>
    <xf numFmtId="167" fontId="0" fillId="0" borderId="1" xfId="0" applyNumberFormat="1" applyBorder="1"/>
    <xf numFmtId="167" fontId="0" fillId="0" borderId="8" xfId="0" applyNumberFormat="1" applyBorder="1"/>
    <xf numFmtId="0" fontId="11" fillId="0" borderId="0" xfId="0" applyFont="1"/>
    <xf numFmtId="0" fontId="2" fillId="0" borderId="0" xfId="0" applyFont="1" applyAlignment="1">
      <alignment horizontal="center"/>
    </xf>
    <xf numFmtId="0" fontId="10" fillId="3" borderId="0" xfId="0" applyFont="1" applyFill="1" applyAlignment="1">
      <alignment horizontal="center" vertical="center"/>
    </xf>
    <xf numFmtId="0" fontId="8" fillId="3" borderId="0" xfId="0" applyFont="1" applyFill="1" applyAlignment="1">
      <alignment horizontal="center" vertical="center"/>
    </xf>
    <xf numFmtId="167" fontId="12" fillId="0" borderId="0" xfId="0" applyNumberFormat="1" applyFont="1"/>
    <xf numFmtId="10" fontId="12" fillId="0" borderId="0" xfId="0" applyNumberFormat="1" applyFont="1"/>
    <xf numFmtId="168" fontId="7" fillId="0" borderId="0" xfId="0" applyNumberFormat="1" applyFont="1"/>
    <xf numFmtId="0" fontId="8" fillId="3" borderId="0" xfId="0" applyFont="1" applyFill="1" applyAlignment="1">
      <alignment horizontal="center"/>
    </xf>
    <xf numFmtId="0" fontId="9" fillId="3" borderId="0" xfId="0" applyFont="1" applyFill="1" applyAlignment="1">
      <alignment horizontal="center"/>
    </xf>
    <xf numFmtId="0" fontId="0" fillId="0" borderId="0" xfId="0" applyAlignment="1">
      <alignment wrapText="1"/>
    </xf>
    <xf numFmtId="0" fontId="0" fillId="0" borderId="0" xfId="0" applyBorder="1" applyAlignment="1">
      <alignment wrapText="1"/>
    </xf>
    <xf numFmtId="0" fontId="11" fillId="0" borderId="0" xfId="0" applyFont="1" applyAlignment="1">
      <alignment wrapText="1"/>
    </xf>
    <xf numFmtId="0" fontId="2" fillId="4" borderId="2" xfId="0" applyFont="1" applyFill="1" applyBorder="1"/>
    <xf numFmtId="167" fontId="2" fillId="4" borderId="2" xfId="0" applyNumberFormat="1" applyFont="1" applyFill="1" applyBorder="1"/>
    <xf numFmtId="4" fontId="2" fillId="4" borderId="2" xfId="0" applyNumberFormat="1" applyFont="1" applyFill="1" applyBorder="1"/>
    <xf numFmtId="10" fontId="2" fillId="4" borderId="2" xfId="0" applyNumberFormat="1" applyFont="1" applyFill="1" applyBorder="1"/>
    <xf numFmtId="168" fontId="0" fillId="0" borderId="0" xfId="0" applyNumberFormat="1"/>
    <xf numFmtId="2" fontId="2" fillId="0" borderId="0" xfId="0" applyNumberFormat="1" applyFont="1" applyAlignment="1">
      <alignment horizontal="center"/>
    </xf>
    <xf numFmtId="4" fontId="0" fillId="0" borderId="0" xfId="0" applyNumberFormat="1" applyAlignment="1">
      <alignment horizontal="center"/>
    </xf>
    <xf numFmtId="2" fontId="2" fillId="0" borderId="2" xfId="0" applyNumberFormat="1"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5996F-CD19-4E05-B927-923BE0245805}">
  <dimension ref="A1:E73"/>
  <sheetViews>
    <sheetView showGridLines="0" tabSelected="1" workbookViewId="0">
      <selection activeCell="A78" sqref="A78"/>
    </sheetView>
  </sheetViews>
  <sheetFormatPr defaultRowHeight="15" x14ac:dyDescent="0.25"/>
  <cols>
    <col min="1" max="1" width="56.7109375" bestFit="1" customWidth="1"/>
    <col min="2" max="2" width="14.28515625" customWidth="1"/>
    <col min="3" max="3" width="9.28515625" bestFit="1" customWidth="1"/>
    <col min="4" max="5" width="11.140625" bestFit="1" customWidth="1"/>
  </cols>
  <sheetData>
    <row r="1" spans="1:5" ht="18.75" x14ac:dyDescent="0.3">
      <c r="A1" s="34" t="s">
        <v>0</v>
      </c>
      <c r="B1" s="34"/>
      <c r="C1" s="34"/>
      <c r="D1" s="34"/>
      <c r="E1" s="34"/>
    </row>
    <row r="2" spans="1:5" x14ac:dyDescent="0.25">
      <c r="A2" t="s">
        <v>13</v>
      </c>
    </row>
    <row r="3" spans="1:5" x14ac:dyDescent="0.25">
      <c r="B3" s="16">
        <v>2022</v>
      </c>
      <c r="C3" s="16">
        <v>2023</v>
      </c>
      <c r="D3" s="16">
        <v>2024</v>
      </c>
      <c r="E3" s="16">
        <v>2025</v>
      </c>
    </row>
    <row r="5" spans="1:5" x14ac:dyDescent="0.25">
      <c r="A5" s="1" t="s">
        <v>1</v>
      </c>
      <c r="B5" s="1"/>
    </row>
    <row r="6" spans="1:5" x14ac:dyDescent="0.25">
      <c r="A6" t="s">
        <v>2</v>
      </c>
      <c r="B6">
        <v>3554.99</v>
      </c>
      <c r="C6" s="2">
        <v>3962.35</v>
      </c>
      <c r="D6" s="2">
        <v>4102.1099999999997</v>
      </c>
      <c r="E6" s="2">
        <v>4040.65</v>
      </c>
    </row>
    <row r="7" spans="1:5" x14ac:dyDescent="0.25">
      <c r="A7" t="s">
        <v>3</v>
      </c>
      <c r="B7">
        <v>850.76</v>
      </c>
      <c r="C7" s="2">
        <v>1036.78</v>
      </c>
      <c r="D7" s="2">
        <v>1021.91</v>
      </c>
      <c r="E7" s="2">
        <v>149.52000000000001</v>
      </c>
    </row>
    <row r="8" spans="1:5" x14ac:dyDescent="0.25">
      <c r="A8" t="s">
        <v>4</v>
      </c>
      <c r="B8">
        <v>718.51</v>
      </c>
      <c r="C8" s="3">
        <v>876.27</v>
      </c>
      <c r="D8" s="3">
        <v>910.59</v>
      </c>
      <c r="E8" s="3">
        <v>72.98</v>
      </c>
    </row>
    <row r="9" spans="1:5" x14ac:dyDescent="0.25">
      <c r="A9" t="s">
        <v>5</v>
      </c>
      <c r="B9">
        <v>178.35</v>
      </c>
      <c r="C9">
        <v>83.71</v>
      </c>
      <c r="D9">
        <v>-39.49</v>
      </c>
      <c r="E9">
        <v>154.18</v>
      </c>
    </row>
    <row r="11" spans="1:5" x14ac:dyDescent="0.25">
      <c r="A11" s="1" t="s">
        <v>6</v>
      </c>
      <c r="B11" s="1"/>
    </row>
    <row r="12" spans="1:5" x14ac:dyDescent="0.25">
      <c r="A12" t="s">
        <v>7</v>
      </c>
      <c r="B12">
        <v>39.229999999999997</v>
      </c>
      <c r="C12" s="4">
        <v>54.3</v>
      </c>
      <c r="D12">
        <v>69.84</v>
      </c>
      <c r="E12">
        <v>79.28</v>
      </c>
    </row>
    <row r="13" spans="1:5" x14ac:dyDescent="0.25">
      <c r="A13" t="s">
        <v>8</v>
      </c>
      <c r="B13">
        <v>-104.19</v>
      </c>
      <c r="C13">
        <v>-115.63</v>
      </c>
      <c r="D13">
        <v>-69.349999999999994</v>
      </c>
      <c r="E13">
        <v>-51.23</v>
      </c>
    </row>
    <row r="15" spans="1:5" x14ac:dyDescent="0.25">
      <c r="A15" s="1" t="s">
        <v>9</v>
      </c>
      <c r="B15" s="1"/>
    </row>
    <row r="16" spans="1:5" x14ac:dyDescent="0.25">
      <c r="A16" t="s">
        <v>10</v>
      </c>
      <c r="B16">
        <v>191.63</v>
      </c>
      <c r="C16">
        <v>149.29</v>
      </c>
      <c r="D16">
        <v>180.49</v>
      </c>
      <c r="E16">
        <v>130.35</v>
      </c>
    </row>
    <row r="17" spans="1:5" x14ac:dyDescent="0.25">
      <c r="A17" t="s">
        <v>136</v>
      </c>
      <c r="B17" s="4">
        <v>2594.96</v>
      </c>
      <c r="C17" s="4">
        <v>1996.36</v>
      </c>
      <c r="D17" s="4">
        <v>1701.3</v>
      </c>
      <c r="E17" s="4">
        <v>1613.85</v>
      </c>
    </row>
    <row r="18" spans="1:5" x14ac:dyDescent="0.25">
      <c r="A18" t="s">
        <v>11</v>
      </c>
      <c r="B18" s="2">
        <v>1025.98</v>
      </c>
      <c r="C18" s="2">
        <v>910.7</v>
      </c>
      <c r="D18">
        <v>872.27</v>
      </c>
      <c r="E18">
        <v>885.88</v>
      </c>
    </row>
    <row r="19" spans="1:5" x14ac:dyDescent="0.25">
      <c r="A19" t="s">
        <v>12</v>
      </c>
      <c r="B19" s="4">
        <f>B20-B21</f>
        <v>559.45000000000005</v>
      </c>
      <c r="C19" s="4">
        <f>C20-C21</f>
        <v>612.69999999999993</v>
      </c>
      <c r="D19" s="4">
        <f t="shared" ref="D19:E19" si="0">D20-D21</f>
        <v>671.66000000000008</v>
      </c>
      <c r="E19" s="4">
        <f t="shared" si="0"/>
        <v>614.36</v>
      </c>
    </row>
    <row r="20" spans="1:5" x14ac:dyDescent="0.25">
      <c r="A20" t="s">
        <v>14</v>
      </c>
      <c r="B20">
        <v>641.27</v>
      </c>
      <c r="C20" s="4">
        <v>698.3</v>
      </c>
      <c r="D20">
        <v>740.21</v>
      </c>
      <c r="E20">
        <v>700.13</v>
      </c>
    </row>
    <row r="21" spans="1:5" x14ac:dyDescent="0.25">
      <c r="A21" t="s">
        <v>15</v>
      </c>
      <c r="B21">
        <v>81.819999999999993</v>
      </c>
      <c r="C21" s="4">
        <v>85.6</v>
      </c>
      <c r="D21">
        <v>68.55</v>
      </c>
      <c r="E21">
        <v>85.77</v>
      </c>
    </row>
    <row r="23" spans="1:5" x14ac:dyDescent="0.25">
      <c r="A23" t="s">
        <v>28</v>
      </c>
      <c r="E23" s="3">
        <v>3325.8069999999998</v>
      </c>
    </row>
    <row r="24" spans="1:5" x14ac:dyDescent="0.25">
      <c r="A24" t="s">
        <v>33</v>
      </c>
      <c r="E24" s="3">
        <v>714.84</v>
      </c>
    </row>
    <row r="26" spans="1:5" x14ac:dyDescent="0.25">
      <c r="A26" t="s">
        <v>34</v>
      </c>
      <c r="E26">
        <v>738.1</v>
      </c>
    </row>
    <row r="28" spans="1:5" x14ac:dyDescent="0.25">
      <c r="A28" s="1" t="s">
        <v>50</v>
      </c>
      <c r="C28" s="10" t="s">
        <v>61</v>
      </c>
      <c r="D28" s="10" t="s">
        <v>57</v>
      </c>
      <c r="E28" s="10" t="s">
        <v>58</v>
      </c>
    </row>
    <row r="30" spans="1:5" x14ac:dyDescent="0.25">
      <c r="A30" t="s">
        <v>51</v>
      </c>
      <c r="C30" s="4">
        <v>305.74700000000001</v>
      </c>
      <c r="D30" s="4">
        <v>257.65699999999998</v>
      </c>
      <c r="E30" s="4">
        <v>278.19099999999997</v>
      </c>
    </row>
    <row r="31" spans="1:5" x14ac:dyDescent="0.25">
      <c r="A31" t="s">
        <v>52</v>
      </c>
      <c r="C31" s="4">
        <v>385.05399999999997</v>
      </c>
      <c r="D31" s="4">
        <v>356.25400000000002</v>
      </c>
      <c r="E31" s="4">
        <v>368.68700000000001</v>
      </c>
    </row>
    <row r="32" spans="1:5" x14ac:dyDescent="0.25">
      <c r="A32" t="s">
        <v>53</v>
      </c>
      <c r="C32" s="4">
        <v>21.071000000000002</v>
      </c>
      <c r="D32" s="4">
        <v>22.204000000000001</v>
      </c>
      <c r="E32" s="4">
        <v>22.082000000000001</v>
      </c>
    </row>
    <row r="33" spans="1:5" x14ac:dyDescent="0.25">
      <c r="A33" t="s">
        <v>54</v>
      </c>
      <c r="C33" s="4">
        <v>45.128999999999998</v>
      </c>
      <c r="D33" s="4">
        <v>51.622999999999998</v>
      </c>
      <c r="E33" s="4">
        <v>53.786999999999999</v>
      </c>
    </row>
    <row r="34" spans="1:5" x14ac:dyDescent="0.25">
      <c r="A34" t="s">
        <v>55</v>
      </c>
      <c r="C34" s="4">
        <v>260.97800000000001</v>
      </c>
      <c r="D34" s="4">
        <v>264.90100000000001</v>
      </c>
      <c r="E34" s="4">
        <v>266.08999999999997</v>
      </c>
    </row>
    <row r="35" spans="1:5" x14ac:dyDescent="0.25">
      <c r="A35" t="s">
        <v>56</v>
      </c>
      <c r="C35" s="4">
        <v>285.77100000000002</v>
      </c>
      <c r="D35" s="4">
        <v>298.06799999999998</v>
      </c>
      <c r="E35" s="4">
        <v>300.959</v>
      </c>
    </row>
    <row r="36" spans="1:5" x14ac:dyDescent="0.25">
      <c r="C36" s="4"/>
      <c r="D36" s="4"/>
      <c r="E36" s="4"/>
    </row>
    <row r="37" spans="1:5" x14ac:dyDescent="0.25">
      <c r="A37" s="1" t="s">
        <v>59</v>
      </c>
      <c r="C37" s="4">
        <f>SUM(C30:C33)-SUM(C34:C35)</f>
        <v>210.25199999999995</v>
      </c>
      <c r="D37" s="4">
        <f>SUM(D30:D33)-SUM(D34:D35)</f>
        <v>124.76900000000001</v>
      </c>
      <c r="E37" s="4">
        <f>SUM(E30:E33)-SUM(E34:E35)</f>
        <v>155.69799999999998</v>
      </c>
    </row>
    <row r="38" spans="1:5" x14ac:dyDescent="0.25">
      <c r="A38" s="1" t="s">
        <v>60</v>
      </c>
      <c r="C38" s="6">
        <f>C37/C6</f>
        <v>5.306245031357653E-2</v>
      </c>
      <c r="D38" s="6">
        <f>D37/D6</f>
        <v>3.0415810400013656E-2</v>
      </c>
      <c r="E38" s="6">
        <f>E37/E6</f>
        <v>3.8532909309145796E-2</v>
      </c>
    </row>
    <row r="39" spans="1:5" x14ac:dyDescent="0.25">
      <c r="A39" s="1"/>
      <c r="C39" s="6"/>
      <c r="D39" s="6"/>
      <c r="E39" s="6"/>
    </row>
    <row r="40" spans="1:5" s="56" customFormat="1" ht="45" x14ac:dyDescent="0.25">
      <c r="A40" s="58" t="s">
        <v>137</v>
      </c>
    </row>
    <row r="41" spans="1:5" hidden="1" x14ac:dyDescent="0.25">
      <c r="A41" s="1" t="s">
        <v>107</v>
      </c>
    </row>
    <row r="42" spans="1:5" hidden="1" x14ac:dyDescent="0.25"/>
    <row r="43" spans="1:5" hidden="1" x14ac:dyDescent="0.25">
      <c r="A43" t="s">
        <v>96</v>
      </c>
      <c r="B43" s="25">
        <v>170.27600000000001</v>
      </c>
    </row>
    <row r="44" spans="1:5" hidden="1" x14ac:dyDescent="0.25">
      <c r="A44" t="s">
        <v>100</v>
      </c>
      <c r="B44" s="24">
        <v>1334</v>
      </c>
    </row>
    <row r="45" spans="1:5" hidden="1" x14ac:dyDescent="0.25"/>
    <row r="46" spans="1:5" hidden="1" x14ac:dyDescent="0.25">
      <c r="A46" s="1" t="s">
        <v>104</v>
      </c>
    </row>
    <row r="47" spans="1:5" hidden="1" x14ac:dyDescent="0.25"/>
    <row r="48" spans="1:5" hidden="1" x14ac:dyDescent="0.25">
      <c r="A48" t="s">
        <v>101</v>
      </c>
      <c r="B48" s="4">
        <v>270.76799999999997</v>
      </c>
    </row>
    <row r="49" spans="1:2" hidden="1" x14ac:dyDescent="0.25">
      <c r="A49" t="s">
        <v>102</v>
      </c>
      <c r="B49" s="4">
        <v>-38.728999999999999</v>
      </c>
    </row>
    <row r="50" spans="1:2" hidden="1" x14ac:dyDescent="0.25">
      <c r="A50" t="s">
        <v>103</v>
      </c>
      <c r="B50" s="4">
        <f>SUM(B48:B49)</f>
        <v>232.03899999999999</v>
      </c>
    </row>
    <row r="51" spans="1:2" hidden="1" x14ac:dyDescent="0.25"/>
    <row r="52" spans="1:2" hidden="1" x14ac:dyDescent="0.25">
      <c r="A52" s="1" t="s">
        <v>105</v>
      </c>
    </row>
    <row r="53" spans="1:2" hidden="1" x14ac:dyDescent="0.25"/>
    <row r="54" spans="1:2" hidden="1" x14ac:dyDescent="0.25">
      <c r="A54" t="s">
        <v>106</v>
      </c>
      <c r="B54" s="7">
        <v>486.52199999999999</v>
      </c>
    </row>
    <row r="55" spans="1:2" hidden="1" x14ac:dyDescent="0.25">
      <c r="A55" t="s">
        <v>108</v>
      </c>
      <c r="B55" s="13">
        <f>Assumptions!B21</f>
        <v>0.23</v>
      </c>
    </row>
    <row r="56" spans="1:2" hidden="1" x14ac:dyDescent="0.25">
      <c r="A56" s="27" t="s">
        <v>109</v>
      </c>
      <c r="B56" s="27">
        <f>B54*(1-B55)</f>
        <v>374.62194</v>
      </c>
    </row>
    <row r="57" spans="1:2" hidden="1" x14ac:dyDescent="0.25"/>
    <row r="58" spans="1:2" hidden="1" x14ac:dyDescent="0.25">
      <c r="A58" t="s">
        <v>110</v>
      </c>
      <c r="B58" s="25">
        <v>40.286000000000001</v>
      </c>
    </row>
    <row r="59" spans="1:2" hidden="1" x14ac:dyDescent="0.25">
      <c r="A59" t="s">
        <v>111</v>
      </c>
      <c r="B59" s="4">
        <f>B49</f>
        <v>-38.728999999999999</v>
      </c>
    </row>
    <row r="60" spans="1:2" hidden="1" x14ac:dyDescent="0.25"/>
    <row r="61" spans="1:2" hidden="1" x14ac:dyDescent="0.25">
      <c r="A61" s="1" t="s">
        <v>112</v>
      </c>
    </row>
    <row r="62" spans="1:2" hidden="1" x14ac:dyDescent="0.25"/>
    <row r="63" spans="1:2" hidden="1" x14ac:dyDescent="0.25">
      <c r="A63" t="s">
        <v>51</v>
      </c>
      <c r="B63" s="31">
        <v>430.29700000000003</v>
      </c>
    </row>
    <row r="64" spans="1:2" hidden="1" x14ac:dyDescent="0.25">
      <c r="A64" t="s">
        <v>52</v>
      </c>
      <c r="B64" s="31">
        <v>389.21199999999999</v>
      </c>
    </row>
    <row r="65" spans="1:2" hidden="1" x14ac:dyDescent="0.25">
      <c r="A65" t="s">
        <v>53</v>
      </c>
      <c r="B65" s="31">
        <v>22.891999999999999</v>
      </c>
    </row>
    <row r="66" spans="1:2" hidden="1" x14ac:dyDescent="0.25">
      <c r="A66" t="s">
        <v>54</v>
      </c>
      <c r="B66" s="31">
        <v>67.004999999999995</v>
      </c>
    </row>
    <row r="67" spans="1:2" hidden="1" x14ac:dyDescent="0.25">
      <c r="A67" t="s">
        <v>55</v>
      </c>
      <c r="B67" s="31">
        <v>262.51100000000002</v>
      </c>
    </row>
    <row r="68" spans="1:2" hidden="1" x14ac:dyDescent="0.25">
      <c r="A68" t="s">
        <v>56</v>
      </c>
      <c r="B68" s="31">
        <v>306.06599999999997</v>
      </c>
    </row>
    <row r="69" spans="1:2" hidden="1" x14ac:dyDescent="0.25"/>
    <row r="70" spans="1:2" hidden="1" x14ac:dyDescent="0.25">
      <c r="A70" s="15" t="s">
        <v>113</v>
      </c>
      <c r="B70" s="15">
        <f>SUM(B63:B66)-SUM(B67:B68)</f>
        <v>340.82900000000006</v>
      </c>
    </row>
    <row r="71" spans="1:2" hidden="1" x14ac:dyDescent="0.25">
      <c r="A71" t="s">
        <v>114</v>
      </c>
      <c r="B71" s="3">
        <f>B70-E37</f>
        <v>185.13100000000009</v>
      </c>
    </row>
    <row r="72" spans="1:2" hidden="1" x14ac:dyDescent="0.25"/>
    <row r="73" spans="1:2" hidden="1" x14ac:dyDescent="0.25"/>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20F01-9255-46C6-9E75-1C89BD5E4198}">
  <dimension ref="A1:G52"/>
  <sheetViews>
    <sheetView showGridLines="0" topLeftCell="A9" workbookViewId="0">
      <selection activeCell="A52" sqref="A52"/>
    </sheetView>
  </sheetViews>
  <sheetFormatPr defaultRowHeight="15" x14ac:dyDescent="0.25"/>
  <cols>
    <col min="1" max="1" width="32.42578125" bestFit="1" customWidth="1"/>
    <col min="2" max="2" width="11.28515625" bestFit="1" customWidth="1"/>
    <col min="3" max="3" width="10.140625" bestFit="1" customWidth="1"/>
  </cols>
  <sheetData>
    <row r="1" spans="1:7" ht="18.75" x14ac:dyDescent="0.3">
      <c r="A1" s="34" t="s">
        <v>16</v>
      </c>
      <c r="B1" s="55"/>
      <c r="C1" s="55"/>
      <c r="D1" s="55"/>
      <c r="E1" s="55"/>
      <c r="F1" s="55"/>
      <c r="G1" s="55"/>
    </row>
    <row r="2" spans="1:7" x14ac:dyDescent="0.25">
      <c r="A2" s="1" t="s">
        <v>17</v>
      </c>
    </row>
    <row r="4" spans="1:7" x14ac:dyDescent="0.25">
      <c r="B4" s="16">
        <v>2023</v>
      </c>
      <c r="C4" s="16">
        <v>2024</v>
      </c>
      <c r="D4" s="16">
        <v>2025</v>
      </c>
    </row>
    <row r="5" spans="1:7" x14ac:dyDescent="0.25">
      <c r="A5" s="1"/>
    </row>
    <row r="6" spans="1:7" x14ac:dyDescent="0.25">
      <c r="A6" t="s">
        <v>18</v>
      </c>
      <c r="B6" s="6">
        <f>Data!C6/Data!B6-1</f>
        <v>0.11458822668980795</v>
      </c>
      <c r="C6" s="5">
        <f>Data!D6/Data!C6-1</f>
        <v>3.5271997678145484E-2</v>
      </c>
      <c r="D6" s="6">
        <f>Data!E6/Data!D6-1</f>
        <v>-1.4982533379163332E-2</v>
      </c>
    </row>
    <row r="7" spans="1:7" x14ac:dyDescent="0.25">
      <c r="A7" t="s">
        <v>19</v>
      </c>
      <c r="B7" s="5">
        <f>Data!C7/Data!C6</f>
        <v>0.26165785455600843</v>
      </c>
      <c r="C7" s="5">
        <f>Data!D7/Data!D6</f>
        <v>0.24911813676376304</v>
      </c>
      <c r="D7" s="5">
        <f>Data!E7/Data!E6</f>
        <v>3.7003947384702959E-2</v>
      </c>
    </row>
    <row r="8" spans="1:7" x14ac:dyDescent="0.25">
      <c r="A8" t="s">
        <v>20</v>
      </c>
      <c r="B8" s="5">
        <f>Data!C9/Data!C8</f>
        <v>9.55299165782236E-2</v>
      </c>
      <c r="C8" s="5">
        <f>Data!D9/Data!D8</f>
        <v>-4.3367487013914054E-2</v>
      </c>
      <c r="D8" s="5">
        <f>Data!E9/Data!E8</f>
        <v>2.1126335982460946</v>
      </c>
    </row>
    <row r="9" spans="1:7" x14ac:dyDescent="0.25">
      <c r="A9" t="s">
        <v>21</v>
      </c>
      <c r="B9" s="5">
        <f>Data!C12/Data!C6</f>
        <v>1.3703988794528499E-2</v>
      </c>
      <c r="C9" s="5">
        <f>Data!D12/Data!D6</f>
        <v>1.702538449724654E-2</v>
      </c>
      <c r="D9" s="5">
        <f>Data!E12/Data!E6</f>
        <v>1.9620605595634364E-2</v>
      </c>
    </row>
    <row r="10" spans="1:7" x14ac:dyDescent="0.25">
      <c r="A10" t="s">
        <v>22</v>
      </c>
      <c r="B10" s="6">
        <f>Data!C13/Data!C6</f>
        <v>-2.9182177243302587E-2</v>
      </c>
      <c r="C10" s="6">
        <f>Data!D13/Data!D6</f>
        <v>-1.6905933775544779E-2</v>
      </c>
      <c r="D10" s="6">
        <f>Data!E13/Data!E6</f>
        <v>-1.2678653186987241E-2</v>
      </c>
    </row>
    <row r="11" spans="1:7" x14ac:dyDescent="0.25">
      <c r="A11" t="s">
        <v>23</v>
      </c>
      <c r="B11" s="12">
        <f>Data!C37</f>
        <v>210.25199999999995</v>
      </c>
      <c r="C11" s="12">
        <f>Data!D37</f>
        <v>124.76900000000001</v>
      </c>
      <c r="D11" s="12">
        <f>Data!E37</f>
        <v>155.69799999999998</v>
      </c>
    </row>
    <row r="12" spans="1:7" x14ac:dyDescent="0.25">
      <c r="A12" t="s">
        <v>24</v>
      </c>
      <c r="B12" s="6">
        <f>B11/Data!C6</f>
        <v>5.306245031357653E-2</v>
      </c>
      <c r="C12" s="6">
        <f>C11/Data!D6</f>
        <v>3.0415810400013656E-2</v>
      </c>
      <c r="D12" s="6">
        <f>D11/Data!E6</f>
        <v>3.8532909309145796E-2</v>
      </c>
    </row>
    <row r="15" spans="1:7" x14ac:dyDescent="0.25">
      <c r="A15" s="1" t="s">
        <v>25</v>
      </c>
    </row>
    <row r="17" spans="1:7" x14ac:dyDescent="0.25">
      <c r="B17" s="16">
        <v>2026</v>
      </c>
      <c r="C17" s="16">
        <v>2027</v>
      </c>
      <c r="D17" s="16">
        <v>2028</v>
      </c>
      <c r="E17" s="16">
        <v>2029</v>
      </c>
      <c r="F17" s="16">
        <v>2030</v>
      </c>
    </row>
    <row r="19" spans="1:7" x14ac:dyDescent="0.25">
      <c r="A19" t="s">
        <v>18</v>
      </c>
      <c r="B19" s="6">
        <f>C33/B33-1</f>
        <v>1.5269825599711906E-2</v>
      </c>
      <c r="C19" s="6">
        <f>D33/C33-1</f>
        <v>2.4929282158050459E-2</v>
      </c>
      <c r="D19" s="6">
        <f>E33/D33-1</f>
        <v>2.670174457872676E-2</v>
      </c>
      <c r="E19" s="6">
        <f>F33/E33-1</f>
        <v>2.7566548907891786E-2</v>
      </c>
      <c r="F19" s="6">
        <f>G33/F33-1</f>
        <v>2.83975390783755E-2</v>
      </c>
    </row>
    <row r="20" spans="1:7" x14ac:dyDescent="0.25">
      <c r="A20" t="s">
        <v>19</v>
      </c>
      <c r="B20" s="8">
        <v>0.22</v>
      </c>
      <c r="C20" s="8">
        <v>0.22</v>
      </c>
      <c r="D20" s="8">
        <v>0.2225</v>
      </c>
      <c r="E20" s="8">
        <v>0.22500000000000001</v>
      </c>
      <c r="F20" s="8">
        <v>0.22500000000000001</v>
      </c>
    </row>
    <row r="21" spans="1:7" x14ac:dyDescent="0.25">
      <c r="A21" t="s">
        <v>26</v>
      </c>
      <c r="B21" s="8">
        <v>0.23</v>
      </c>
      <c r="C21" s="9">
        <v>0.23</v>
      </c>
      <c r="D21" s="9">
        <v>0.23</v>
      </c>
      <c r="E21" s="9">
        <v>0.23</v>
      </c>
      <c r="F21" s="9">
        <v>0.23</v>
      </c>
    </row>
    <row r="22" spans="1:7" x14ac:dyDescent="0.25">
      <c r="A22" t="s">
        <v>21</v>
      </c>
      <c r="B22" s="6">
        <f>$D$9</f>
        <v>1.9620605595634364E-2</v>
      </c>
      <c r="C22" s="6">
        <f t="shared" ref="C22:F22" si="0">$D$9</f>
        <v>1.9620605595634364E-2</v>
      </c>
      <c r="D22" s="6">
        <f t="shared" si="0"/>
        <v>1.9620605595634364E-2</v>
      </c>
      <c r="E22" s="6">
        <f t="shared" si="0"/>
        <v>1.9620605595634364E-2</v>
      </c>
      <c r="F22" s="6">
        <f t="shared" si="0"/>
        <v>1.9620605595634364E-2</v>
      </c>
    </row>
    <row r="23" spans="1:7" x14ac:dyDescent="0.25">
      <c r="A23" t="s">
        <v>22</v>
      </c>
      <c r="B23" s="6">
        <f>B50/C33</f>
        <v>-1.8282217583509012E-2</v>
      </c>
      <c r="C23" s="8">
        <v>-1.9E-2</v>
      </c>
      <c r="D23" s="8">
        <v>-0.02</v>
      </c>
      <c r="E23" s="8">
        <v>-2.0500000000000001E-2</v>
      </c>
      <c r="F23" s="8">
        <v>-2.1000000000000001E-2</v>
      </c>
    </row>
    <row r="24" spans="1:7" x14ac:dyDescent="0.25">
      <c r="A24" t="s">
        <v>24</v>
      </c>
      <c r="B24" s="6">
        <f>AVERAGE(C12:D12)</f>
        <v>3.4474359854579723E-2</v>
      </c>
      <c r="C24" s="6">
        <f>$B$24</f>
        <v>3.4474359854579723E-2</v>
      </c>
      <c r="D24" s="6">
        <f t="shared" ref="D24:F24" si="1">$B$24</f>
        <v>3.4474359854579723E-2</v>
      </c>
      <c r="E24" s="6">
        <f t="shared" si="1"/>
        <v>3.4474359854579723E-2</v>
      </c>
      <c r="F24" s="6">
        <f t="shared" si="1"/>
        <v>3.4474359854579723E-2</v>
      </c>
    </row>
    <row r="27" spans="1:7" x14ac:dyDescent="0.25">
      <c r="A27" s="1" t="s">
        <v>27</v>
      </c>
    </row>
    <row r="29" spans="1:7" x14ac:dyDescent="0.25">
      <c r="B29" s="16">
        <v>2025</v>
      </c>
      <c r="C29" s="16">
        <v>2026</v>
      </c>
      <c r="D29" s="16">
        <v>2027</v>
      </c>
      <c r="E29" s="16">
        <v>2028</v>
      </c>
      <c r="F29" s="16">
        <v>2029</v>
      </c>
      <c r="G29" s="16">
        <v>2030</v>
      </c>
    </row>
    <row r="31" spans="1:7" x14ac:dyDescent="0.25">
      <c r="A31" t="s">
        <v>28</v>
      </c>
      <c r="B31" s="4">
        <f>Data!E23</f>
        <v>3325.8069999999998</v>
      </c>
      <c r="C31" s="4">
        <f t="shared" ref="C31:G32" si="2">B31*(1+C35)</f>
        <v>3408.9521749999994</v>
      </c>
      <c r="D31" s="4">
        <f t="shared" si="2"/>
        <v>3511.2207402499994</v>
      </c>
      <c r="E31" s="4">
        <f t="shared" si="2"/>
        <v>3616.5573624574995</v>
      </c>
      <c r="F31" s="4">
        <f t="shared" si="2"/>
        <v>3725.0540833312248</v>
      </c>
      <c r="G31" s="4">
        <f t="shared" si="2"/>
        <v>3836.8057058311615</v>
      </c>
    </row>
    <row r="32" spans="1:7" x14ac:dyDescent="0.25">
      <c r="A32" t="s">
        <v>29</v>
      </c>
      <c r="B32" s="4">
        <f>Data!E24</f>
        <v>714.84</v>
      </c>
      <c r="C32" s="4">
        <f t="shared" si="2"/>
        <v>693.39480000000003</v>
      </c>
      <c r="D32" s="4">
        <f t="shared" si="2"/>
        <v>693.39480000000003</v>
      </c>
      <c r="E32" s="4">
        <f t="shared" si="2"/>
        <v>700.32874800000002</v>
      </c>
      <c r="F32" s="4">
        <f t="shared" si="2"/>
        <v>710.83367921999991</v>
      </c>
      <c r="G32" s="4">
        <f t="shared" si="2"/>
        <v>725.05035280439995</v>
      </c>
    </row>
    <row r="33" spans="1:7" x14ac:dyDescent="0.25">
      <c r="A33" t="s">
        <v>30</v>
      </c>
      <c r="B33" s="4">
        <f t="shared" ref="B33:G33" si="3">SUM(B31:B32)</f>
        <v>4040.6469999999999</v>
      </c>
      <c r="C33" s="4">
        <f t="shared" si="3"/>
        <v>4102.3469749999995</v>
      </c>
      <c r="D33" s="4">
        <f t="shared" si="3"/>
        <v>4204.615540249999</v>
      </c>
      <c r="E33" s="4">
        <f t="shared" si="3"/>
        <v>4316.8861104574999</v>
      </c>
      <c r="F33" s="4">
        <f t="shared" si="3"/>
        <v>4435.887762551225</v>
      </c>
      <c r="G33" s="4">
        <f t="shared" si="3"/>
        <v>4561.8560586355616</v>
      </c>
    </row>
    <row r="35" spans="1:7" x14ac:dyDescent="0.25">
      <c r="A35" t="s">
        <v>31</v>
      </c>
      <c r="B35" s="6"/>
      <c r="C35" s="8">
        <v>2.5000000000000001E-2</v>
      </c>
      <c r="D35" s="8">
        <v>0.03</v>
      </c>
      <c r="E35" s="8">
        <v>0.03</v>
      </c>
      <c r="F35" s="8">
        <v>0.03</v>
      </c>
      <c r="G35" s="8">
        <v>0.03</v>
      </c>
    </row>
    <row r="36" spans="1:7" x14ac:dyDescent="0.25">
      <c r="A36" t="s">
        <v>32</v>
      </c>
      <c r="B36" s="6"/>
      <c r="C36" s="8">
        <v>-0.03</v>
      </c>
      <c r="D36" s="8">
        <v>0</v>
      </c>
      <c r="E36" s="8">
        <v>0.01</v>
      </c>
      <c r="F36" s="8">
        <v>1.4999999999999999E-2</v>
      </c>
      <c r="G36" s="8">
        <v>0.02</v>
      </c>
    </row>
    <row r="39" spans="1:7" x14ac:dyDescent="0.25">
      <c r="A39" s="1" t="s">
        <v>35</v>
      </c>
    </row>
    <row r="41" spans="1:7" x14ac:dyDescent="0.25">
      <c r="A41" t="s">
        <v>36</v>
      </c>
      <c r="B41" s="4">
        <f>Data!E26</f>
        <v>738.1</v>
      </c>
      <c r="C41" s="4"/>
      <c r="D41" s="4"/>
      <c r="E41" s="4"/>
      <c r="F41" s="4"/>
      <c r="G41" s="4"/>
    </row>
    <row r="42" spans="1:7" x14ac:dyDescent="0.25">
      <c r="A42" t="s">
        <v>138</v>
      </c>
      <c r="B42" s="4">
        <f>Data!E7+Assumptions!B41</f>
        <v>887.62</v>
      </c>
      <c r="C42" s="4"/>
      <c r="D42" s="4"/>
      <c r="E42" s="4"/>
      <c r="F42" s="4"/>
      <c r="G42" s="4"/>
    </row>
    <row r="43" spans="1:7" x14ac:dyDescent="0.25">
      <c r="A43" s="1" t="s">
        <v>37</v>
      </c>
      <c r="B43" s="6">
        <f>B42/Data!E6</f>
        <v>0.21967257743184884</v>
      </c>
      <c r="C43" s="6"/>
      <c r="D43" s="6"/>
      <c r="E43" s="6"/>
      <c r="F43" s="6"/>
      <c r="G43" s="6"/>
    </row>
    <row r="46" spans="1:7" x14ac:dyDescent="0.25">
      <c r="A46" s="1" t="s">
        <v>38</v>
      </c>
    </row>
    <row r="48" spans="1:7" x14ac:dyDescent="0.25">
      <c r="A48" t="s">
        <v>40</v>
      </c>
      <c r="B48" s="7">
        <v>-70</v>
      </c>
    </row>
    <row r="49" spans="1:2" x14ac:dyDescent="0.25">
      <c r="A49" t="s">
        <v>41</v>
      </c>
      <c r="B49" s="7">
        <v>-80</v>
      </c>
    </row>
    <row r="50" spans="1:2" x14ac:dyDescent="0.25">
      <c r="A50" t="s">
        <v>39</v>
      </c>
      <c r="B50">
        <f>AVERAGE(B48,B49)</f>
        <v>-75</v>
      </c>
    </row>
    <row r="52" spans="1:2" ht="90" x14ac:dyDescent="0.25">
      <c r="A52" s="58" t="s">
        <v>139</v>
      </c>
    </row>
  </sheetData>
  <mergeCells count="1">
    <mergeCell ref="A1:G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7AEE-25DA-4DC6-B45D-87B181498FF0}">
  <dimension ref="A1:G14"/>
  <sheetViews>
    <sheetView showGridLines="0" workbookViewId="0">
      <selection activeCell="B14" sqref="B14"/>
    </sheetView>
  </sheetViews>
  <sheetFormatPr defaultRowHeight="15" x14ac:dyDescent="0.25"/>
  <cols>
    <col min="1" max="1" width="29.42578125" bestFit="1" customWidth="1"/>
    <col min="2" max="2" width="10.140625" bestFit="1" customWidth="1"/>
  </cols>
  <sheetData>
    <row r="1" spans="1:7" ht="18.75" x14ac:dyDescent="0.3">
      <c r="A1" s="34" t="s">
        <v>42</v>
      </c>
      <c r="B1" s="34"/>
      <c r="C1" s="34"/>
      <c r="D1" s="34"/>
      <c r="E1" s="34"/>
      <c r="F1" s="34"/>
      <c r="G1" s="34"/>
    </row>
    <row r="2" spans="1:7" x14ac:dyDescent="0.25">
      <c r="A2" t="s">
        <v>43</v>
      </c>
    </row>
    <row r="4" spans="1:7" x14ac:dyDescent="0.25">
      <c r="B4" s="11">
        <v>2025</v>
      </c>
      <c r="C4" s="11">
        <v>2026</v>
      </c>
      <c r="D4" s="11">
        <v>2027</v>
      </c>
      <c r="E4" s="11">
        <v>2028</v>
      </c>
      <c r="F4" s="11">
        <v>2029</v>
      </c>
      <c r="G4" s="11">
        <v>2030</v>
      </c>
    </row>
    <row r="6" spans="1:7" x14ac:dyDescent="0.25">
      <c r="A6" t="s">
        <v>2</v>
      </c>
      <c r="B6" s="12">
        <f>Data!E6</f>
        <v>4040.65</v>
      </c>
      <c r="C6" s="12">
        <f>Assumptions!C33</f>
        <v>4102.3469749999995</v>
      </c>
      <c r="D6" s="12">
        <f>Assumptions!D33</f>
        <v>4204.615540249999</v>
      </c>
      <c r="E6" s="12">
        <f>Assumptions!E33</f>
        <v>4316.8861104574999</v>
      </c>
      <c r="F6" s="12">
        <f>Assumptions!F33</f>
        <v>4435.887762551225</v>
      </c>
      <c r="G6" s="12">
        <f>Assumptions!G33</f>
        <v>4561.8560586355616</v>
      </c>
    </row>
    <row r="7" spans="1:7" x14ac:dyDescent="0.25">
      <c r="A7" t="s">
        <v>18</v>
      </c>
      <c r="B7" s="13">
        <f>Assumptions!D6</f>
        <v>-1.4982533379163332E-2</v>
      </c>
      <c r="C7" s="6">
        <f>C6/B6-1</f>
        <v>1.5269071807753498E-2</v>
      </c>
      <c r="D7" s="6">
        <f t="shared" ref="D7:G7" si="0">D6/C6-1</f>
        <v>2.4929282158050459E-2</v>
      </c>
      <c r="E7" s="6">
        <f t="shared" si="0"/>
        <v>2.670174457872676E-2</v>
      </c>
      <c r="F7" s="6">
        <f t="shared" si="0"/>
        <v>2.7566548907891786E-2</v>
      </c>
      <c r="G7" s="6">
        <f t="shared" si="0"/>
        <v>2.83975390783755E-2</v>
      </c>
    </row>
    <row r="8" spans="1:7" x14ac:dyDescent="0.25">
      <c r="A8" t="s">
        <v>19</v>
      </c>
      <c r="B8" s="13">
        <f>Assumptions!D7</f>
        <v>3.7003947384702959E-2</v>
      </c>
      <c r="C8" s="13">
        <f>Assumptions!B20</f>
        <v>0.22</v>
      </c>
      <c r="D8" s="13">
        <f>Assumptions!C20</f>
        <v>0.22</v>
      </c>
      <c r="E8" s="13">
        <f>Assumptions!D20</f>
        <v>0.2225</v>
      </c>
      <c r="F8" s="13">
        <f>Assumptions!E20</f>
        <v>0.22500000000000001</v>
      </c>
      <c r="G8" s="13">
        <f>Assumptions!F20</f>
        <v>0.22500000000000001</v>
      </c>
    </row>
    <row r="9" spans="1:7" x14ac:dyDescent="0.25">
      <c r="A9" t="s">
        <v>3</v>
      </c>
      <c r="B9" s="12">
        <f>Data!E7</f>
        <v>149.52000000000001</v>
      </c>
      <c r="C9" s="2">
        <f>C6*C8</f>
        <v>902.51633449999986</v>
      </c>
      <c r="D9" s="2">
        <f t="shared" ref="D9:G9" si="1">D6*D8</f>
        <v>925.01541885499978</v>
      </c>
      <c r="E9" s="2">
        <f t="shared" si="1"/>
        <v>960.5071595767937</v>
      </c>
      <c r="F9" s="2">
        <f t="shared" si="1"/>
        <v>998.07474657402565</v>
      </c>
      <c r="G9" s="2">
        <f t="shared" si="1"/>
        <v>1026.4176131930014</v>
      </c>
    </row>
    <row r="11" spans="1:7" x14ac:dyDescent="0.25">
      <c r="A11" t="s">
        <v>44</v>
      </c>
      <c r="B11" s="14">
        <f>Assumptions!B41</f>
        <v>738.1</v>
      </c>
    </row>
    <row r="12" spans="1:7" x14ac:dyDescent="0.25">
      <c r="A12" s="1" t="s">
        <v>140</v>
      </c>
      <c r="B12" s="15">
        <f>B11+B9</f>
        <v>887.62</v>
      </c>
    </row>
    <row r="14" spans="1:7" ht="75" x14ac:dyDescent="0.25">
      <c r="A14" s="58" t="s">
        <v>141</v>
      </c>
    </row>
  </sheetData>
  <mergeCells count="1">
    <mergeCell ref="A1:G1"/>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FCE48-2AEE-43DB-B805-0796656EFB8F}">
  <dimension ref="A1:O54"/>
  <sheetViews>
    <sheetView showGridLines="0" topLeftCell="A9" workbookViewId="0">
      <selection activeCell="E43" sqref="E43"/>
    </sheetView>
  </sheetViews>
  <sheetFormatPr defaultRowHeight="15" x14ac:dyDescent="0.25"/>
  <cols>
    <col min="1" max="1" width="39.28515625" bestFit="1" customWidth="1"/>
    <col min="10" max="10" width="7.5703125" bestFit="1" customWidth="1"/>
    <col min="11" max="11" width="12" bestFit="1" customWidth="1"/>
  </cols>
  <sheetData>
    <row r="1" spans="1:15" ht="18.75" x14ac:dyDescent="0.3">
      <c r="A1" s="34" t="s">
        <v>45</v>
      </c>
      <c r="B1" s="34"/>
      <c r="C1" s="34"/>
      <c r="D1" s="34"/>
      <c r="E1" s="34"/>
      <c r="F1" s="34"/>
      <c r="G1" s="34"/>
    </row>
    <row r="2" spans="1:15" x14ac:dyDescent="0.25">
      <c r="A2" t="s">
        <v>43</v>
      </c>
    </row>
    <row r="4" spans="1:15" x14ac:dyDescent="0.25">
      <c r="A4" s="21"/>
      <c r="B4" s="16">
        <v>2025</v>
      </c>
      <c r="C4" s="16">
        <v>2026</v>
      </c>
      <c r="D4" s="16">
        <v>2027</v>
      </c>
      <c r="E4" s="16">
        <v>2028</v>
      </c>
      <c r="F4" s="16">
        <v>2029</v>
      </c>
      <c r="G4" s="16">
        <v>2030</v>
      </c>
    </row>
    <row r="6" spans="1:15" x14ac:dyDescent="0.25">
      <c r="A6" t="s">
        <v>3</v>
      </c>
      <c r="B6" s="12">
        <f>'Income Statement'!B9</f>
        <v>149.52000000000001</v>
      </c>
      <c r="C6" s="12">
        <f>'Income Statement'!C9</f>
        <v>902.51633449999986</v>
      </c>
      <c r="D6" s="12">
        <f>'Income Statement'!D9</f>
        <v>925.01541885499978</v>
      </c>
      <c r="E6" s="12">
        <f>'Income Statement'!E9</f>
        <v>960.5071595767937</v>
      </c>
      <c r="F6" s="12">
        <f>'Income Statement'!F9</f>
        <v>998.07474657402565</v>
      </c>
      <c r="G6" s="12">
        <f>'Income Statement'!G9</f>
        <v>1026.4176131930014</v>
      </c>
    </row>
    <row r="7" spans="1:15" x14ac:dyDescent="0.25">
      <c r="A7" t="s">
        <v>26</v>
      </c>
      <c r="B7" s="13">
        <f>Assumptions!D8</f>
        <v>2.1126335982460946</v>
      </c>
      <c r="C7" s="13">
        <f>Assumptions!B21</f>
        <v>0.23</v>
      </c>
      <c r="D7" s="13">
        <f>Assumptions!C21</f>
        <v>0.23</v>
      </c>
      <c r="E7" s="13">
        <f>Assumptions!D21</f>
        <v>0.23</v>
      </c>
      <c r="F7" s="13">
        <f>Assumptions!E21</f>
        <v>0.23</v>
      </c>
      <c r="G7" s="13">
        <f>Assumptions!F21</f>
        <v>0.23</v>
      </c>
    </row>
    <row r="8" spans="1:15" x14ac:dyDescent="0.25">
      <c r="A8" s="1" t="s">
        <v>46</v>
      </c>
      <c r="B8" s="64" t="s">
        <v>49</v>
      </c>
      <c r="C8" s="15">
        <f t="shared" ref="C8:G8" si="0">C6*(1-C7)</f>
        <v>694.93757756499986</v>
      </c>
      <c r="D8" s="15">
        <f t="shared" si="0"/>
        <v>712.26187251834983</v>
      </c>
      <c r="E8" s="15">
        <f t="shared" si="0"/>
        <v>739.59051287413115</v>
      </c>
      <c r="F8" s="15">
        <f t="shared" si="0"/>
        <v>768.51755486199977</v>
      </c>
      <c r="G8" s="15">
        <f t="shared" si="0"/>
        <v>790.34156215861117</v>
      </c>
      <c r="J8" s="30"/>
      <c r="K8" s="6"/>
      <c r="L8" s="6"/>
      <c r="M8" s="6"/>
      <c r="N8" s="6"/>
      <c r="O8" s="6"/>
    </row>
    <row r="9" spans="1:15" x14ac:dyDescent="0.25">
      <c r="J9" s="6"/>
      <c r="K9" s="26"/>
      <c r="L9" s="26"/>
      <c r="M9" s="26"/>
      <c r="N9" s="26"/>
      <c r="O9" s="26"/>
    </row>
    <row r="10" spans="1:15" x14ac:dyDescent="0.25">
      <c r="A10" t="s">
        <v>7</v>
      </c>
      <c r="B10" s="14">
        <f>Data!E12</f>
        <v>79.28</v>
      </c>
      <c r="C10" s="14">
        <f>Assumptions!C33*Assumptions!B22</f>
        <v>80.490532012918692</v>
      </c>
      <c r="D10" s="14">
        <f>Assumptions!D33*Assumptions!C22</f>
        <v>82.497103196520328</v>
      </c>
      <c r="E10" s="14">
        <f>Assumptions!E33*Assumptions!D22</f>
        <v>84.699919774558694</v>
      </c>
      <c r="F10" s="14">
        <f>Assumptions!F33*Assumptions!E22</f>
        <v>87.034804255518566</v>
      </c>
      <c r="G10" s="14">
        <f>Assumptions!G33*Assumptions!F22</f>
        <v>89.506378510543428</v>
      </c>
      <c r="J10" s="6"/>
      <c r="K10" s="26"/>
      <c r="L10" s="26"/>
      <c r="M10" s="26"/>
      <c r="N10" s="26"/>
      <c r="O10" s="26"/>
    </row>
    <row r="11" spans="1:15" x14ac:dyDescent="0.25">
      <c r="A11" t="s">
        <v>8</v>
      </c>
      <c r="B11" s="14">
        <f>Data!E13</f>
        <v>-51.23</v>
      </c>
      <c r="C11" s="14">
        <f>Assumptions!C33*Assumptions!B23</f>
        <v>-75</v>
      </c>
      <c r="D11" s="14">
        <f>Assumptions!D33*Assumptions!C23</f>
        <v>-79.887695264749979</v>
      </c>
      <c r="E11" s="14">
        <f>Assumptions!E33*Assumptions!D23</f>
        <v>-86.337722209150002</v>
      </c>
      <c r="F11" s="14">
        <f>Assumptions!F33*Assumptions!E23</f>
        <v>-90.935699132300115</v>
      </c>
      <c r="G11" s="14">
        <f>Assumptions!G33*Assumptions!F23</f>
        <v>-95.798977231346797</v>
      </c>
      <c r="J11" s="6"/>
      <c r="K11" s="26"/>
      <c r="L11" s="26"/>
      <c r="M11" s="26"/>
      <c r="N11" s="26"/>
      <c r="O11" s="26"/>
    </row>
    <row r="12" spans="1:15" x14ac:dyDescent="0.25">
      <c r="A12" t="s">
        <v>23</v>
      </c>
      <c r="B12" s="2">
        <f>Data!E37</f>
        <v>155.69799999999998</v>
      </c>
      <c r="C12" s="2">
        <f>'Income Statement'!C6*Assumptions!B24</f>
        <v>141.42578586449653</v>
      </c>
      <c r="D12" s="2">
        <f>'Income Statement'!D6*Assumptions!C24</f>
        <v>144.95142918473658</v>
      </c>
      <c r="E12" s="2">
        <f>'Income Statement'!E6*Assumptions!D24</f>
        <v>148.82188522314883</v>
      </c>
      <c r="F12" s="2">
        <f>'Income Statement'!F6*Assumptions!E24</f>
        <v>152.92439100071741</v>
      </c>
      <c r="G12" s="2">
        <f>'Income Statement'!G6*Assumptions!F24</f>
        <v>157.26706737019708</v>
      </c>
      <c r="J12" s="6"/>
      <c r="K12" s="26"/>
      <c r="L12" s="26"/>
      <c r="M12" s="26"/>
      <c r="N12" s="26"/>
      <c r="O12" s="26"/>
    </row>
    <row r="13" spans="1:15" x14ac:dyDescent="0.25">
      <c r="A13" t="s">
        <v>47</v>
      </c>
      <c r="B13" s="65" t="s">
        <v>49</v>
      </c>
      <c r="C13" s="2">
        <f>C12-B12</f>
        <v>-14.272214135503447</v>
      </c>
      <c r="D13" s="2">
        <f t="shared" ref="D13:G13" si="1">D12-C12</f>
        <v>3.5256433202400501</v>
      </c>
      <c r="E13" s="2">
        <f t="shared" si="1"/>
        <v>3.8704560384122431</v>
      </c>
      <c r="F13" s="2">
        <f t="shared" si="1"/>
        <v>4.1025057775685809</v>
      </c>
      <c r="G13" s="2">
        <f t="shared" si="1"/>
        <v>4.3426763694796762</v>
      </c>
      <c r="J13" s="6"/>
      <c r="K13" s="26"/>
      <c r="L13" s="26"/>
      <c r="M13" s="26"/>
      <c r="N13" s="26"/>
      <c r="O13" s="26"/>
    </row>
    <row r="14" spans="1:15" x14ac:dyDescent="0.25">
      <c r="A14" s="1"/>
    </row>
    <row r="15" spans="1:15" x14ac:dyDescent="0.25">
      <c r="A15" s="20" t="s">
        <v>48</v>
      </c>
      <c r="B15" s="18"/>
      <c r="C15" s="19">
        <f>C8+C10+C11-C13</f>
        <v>714.70032371342199</v>
      </c>
      <c r="D15" s="19">
        <f t="shared" ref="D15:G15" si="2">D8+D10+D11-D13</f>
        <v>711.34563712988017</v>
      </c>
      <c r="E15" s="19">
        <f t="shared" si="2"/>
        <v>734.08225440112756</v>
      </c>
      <c r="F15" s="19">
        <f t="shared" si="2"/>
        <v>760.51415420764965</v>
      </c>
      <c r="G15" s="19">
        <f t="shared" si="2"/>
        <v>779.70628706832804</v>
      </c>
    </row>
    <row r="17" spans="1:7" ht="18.75" x14ac:dyDescent="0.3">
      <c r="A17" s="34" t="s">
        <v>84</v>
      </c>
      <c r="B17" s="34"/>
      <c r="C17" s="34"/>
      <c r="D17" s="34"/>
      <c r="E17" s="34"/>
      <c r="F17" s="34"/>
      <c r="G17" s="34"/>
    </row>
    <row r="19" spans="1:7" x14ac:dyDescent="0.25">
      <c r="A19" t="s">
        <v>85</v>
      </c>
      <c r="B19" s="7">
        <v>0</v>
      </c>
      <c r="C19" s="7">
        <v>1</v>
      </c>
      <c r="D19" s="7">
        <v>2</v>
      </c>
      <c r="E19" s="7">
        <v>3</v>
      </c>
      <c r="F19" s="7">
        <v>4</v>
      </c>
      <c r="G19" s="7">
        <v>5</v>
      </c>
    </row>
    <row r="20" spans="1:7" x14ac:dyDescent="0.25">
      <c r="A20" t="s">
        <v>86</v>
      </c>
      <c r="B20" s="17">
        <f>1/(1+$B$23)^B19</f>
        <v>1</v>
      </c>
      <c r="C20" s="17">
        <f t="shared" ref="C20:G20" si="3">1/(1+$B$23)^C19</f>
        <v>0.90175785354747195</v>
      </c>
      <c r="D20" s="17">
        <f t="shared" si="3"/>
        <v>0.81316722643454376</v>
      </c>
      <c r="E20" s="17">
        <f t="shared" si="3"/>
        <v>0.73327993268476521</v>
      </c>
      <c r="F20" s="17">
        <f t="shared" si="3"/>
        <v>0.6612409381472486</v>
      </c>
      <c r="G20" s="17">
        <f t="shared" si="3"/>
        <v>0.59627920906137954</v>
      </c>
    </row>
    <row r="21" spans="1:7" x14ac:dyDescent="0.25">
      <c r="A21" s="20" t="s">
        <v>87</v>
      </c>
      <c r="B21" s="66" t="s">
        <v>49</v>
      </c>
      <c r="C21" s="27">
        <f>C15*C20</f>
        <v>644.48662984149883</v>
      </c>
      <c r="D21" s="27">
        <f t="shared" ref="D21:F21" si="4">D15*D20</f>
        <v>578.44295878121807</v>
      </c>
      <c r="E21" s="27">
        <f t="shared" si="4"/>
        <v>538.2877860923395</v>
      </c>
      <c r="F21" s="27">
        <f t="shared" si="4"/>
        <v>502.88309280252753</v>
      </c>
      <c r="G21" s="27">
        <f>G15*G20</f>
        <v>464.92264815328758</v>
      </c>
    </row>
    <row r="23" spans="1:7" x14ac:dyDescent="0.25">
      <c r="A23" t="s">
        <v>88</v>
      </c>
      <c r="B23" s="6">
        <f>WACC!B30</f>
        <v>0.10894515203393923</v>
      </c>
    </row>
    <row r="25" spans="1:7" x14ac:dyDescent="0.25">
      <c r="A25" s="28" t="s">
        <v>89</v>
      </c>
      <c r="B25" s="28">
        <f>SUM(C21:G21)</f>
        <v>2729.0231156708714</v>
      </c>
    </row>
    <row r="27" spans="1:7" ht="18.75" x14ac:dyDescent="0.3">
      <c r="A27" s="34" t="s">
        <v>90</v>
      </c>
      <c r="B27" s="34"/>
      <c r="C27" s="34"/>
      <c r="D27" s="34"/>
      <c r="E27" s="34"/>
      <c r="F27" s="34"/>
      <c r="G27" s="34"/>
    </row>
    <row r="29" spans="1:7" x14ac:dyDescent="0.25">
      <c r="A29" t="s">
        <v>91</v>
      </c>
      <c r="B29" s="8">
        <v>2.5000000000000001E-2</v>
      </c>
    </row>
    <row r="30" spans="1:7" x14ac:dyDescent="0.25">
      <c r="A30" s="1" t="s">
        <v>92</v>
      </c>
      <c r="B30" s="29">
        <f>G15*(1+B29)/(B23-B29)</f>
        <v>9520.4895682590231</v>
      </c>
    </row>
    <row r="31" spans="1:7" x14ac:dyDescent="0.25">
      <c r="A31" s="29" t="s">
        <v>93</v>
      </c>
      <c r="B31" s="29">
        <f>B30/(1+B23)^5</f>
        <v>5676.8699896386051</v>
      </c>
    </row>
    <row r="33" spans="1:7" x14ac:dyDescent="0.25">
      <c r="A33" s="20" t="s">
        <v>94</v>
      </c>
      <c r="B33" s="28">
        <f>B31+B25</f>
        <v>8405.8931053094766</v>
      </c>
    </row>
    <row r="35" spans="1:7" ht="18.75" x14ac:dyDescent="0.3">
      <c r="A35" s="34" t="s">
        <v>95</v>
      </c>
      <c r="B35" s="34"/>
      <c r="C35" s="34"/>
      <c r="D35" s="34"/>
      <c r="E35" s="34"/>
      <c r="F35" s="34"/>
      <c r="G35" s="34"/>
    </row>
    <row r="37" spans="1:7" x14ac:dyDescent="0.25">
      <c r="A37" t="s">
        <v>79</v>
      </c>
      <c r="B37" s="12">
        <f>WACC!B14</f>
        <v>1262</v>
      </c>
    </row>
    <row r="38" spans="1:7" x14ac:dyDescent="0.25">
      <c r="A38" t="s">
        <v>96</v>
      </c>
      <c r="B38" s="14">
        <f>Data!E16</f>
        <v>130.35</v>
      </c>
    </row>
    <row r="40" spans="1:7" x14ac:dyDescent="0.25">
      <c r="A40" s="61" t="s">
        <v>97</v>
      </c>
      <c r="B40" s="61">
        <f>B33-B37+B38</f>
        <v>7274.243105309477</v>
      </c>
    </row>
    <row r="42" spans="1:7" x14ac:dyDescent="0.25">
      <c r="A42" t="s">
        <v>72</v>
      </c>
      <c r="B42" s="14">
        <f>WACC!B24</f>
        <v>50.2</v>
      </c>
    </row>
    <row r="44" spans="1:7" x14ac:dyDescent="0.25">
      <c r="A44" s="59" t="s">
        <v>98</v>
      </c>
      <c r="B44" s="60">
        <f>B40/B42</f>
        <v>144.90524114162304</v>
      </c>
    </row>
    <row r="46" spans="1:7" x14ac:dyDescent="0.25">
      <c r="A46" t="s">
        <v>142</v>
      </c>
      <c r="B46" s="30">
        <f>WACC!B23</f>
        <v>85.52</v>
      </c>
    </row>
    <row r="47" spans="1:7" x14ac:dyDescent="0.25">
      <c r="A47" s="59" t="s">
        <v>99</v>
      </c>
      <c r="B47" s="62">
        <f>B44/B46-1</f>
        <v>0.69440179071121433</v>
      </c>
    </row>
    <row r="48" spans="1:7" x14ac:dyDescent="0.25">
      <c r="A48" s="18"/>
      <c r="B48" s="18"/>
    </row>
    <row r="49" spans="1:2" x14ac:dyDescent="0.25">
      <c r="A49" s="1" t="s">
        <v>144</v>
      </c>
    </row>
    <row r="51" spans="1:2" x14ac:dyDescent="0.25">
      <c r="A51" t="s">
        <v>118</v>
      </c>
      <c r="B51" s="2">
        <f>G6+G10</f>
        <v>1115.923991703545</v>
      </c>
    </row>
    <row r="52" spans="1:2" x14ac:dyDescent="0.25">
      <c r="A52" t="s">
        <v>119</v>
      </c>
      <c r="B52" s="63">
        <f>B30/B51</f>
        <v>8.5314856917138719</v>
      </c>
    </row>
    <row r="54" spans="1:2" ht="60" x14ac:dyDescent="0.25">
      <c r="A54" s="58" t="s">
        <v>143</v>
      </c>
      <c r="B54" s="56"/>
    </row>
  </sheetData>
  <mergeCells count="4">
    <mergeCell ref="A1:G1"/>
    <mergeCell ref="A17:G17"/>
    <mergeCell ref="A27:G27"/>
    <mergeCell ref="A35:G3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365C-7A5F-4AD1-83C7-09B756A7D961}">
  <dimension ref="A1:B32"/>
  <sheetViews>
    <sheetView showGridLines="0" workbookViewId="0">
      <selection activeCell="C36" sqref="C36"/>
    </sheetView>
  </sheetViews>
  <sheetFormatPr defaultRowHeight="15" x14ac:dyDescent="0.25"/>
  <cols>
    <col min="1" max="1" width="39.85546875" bestFit="1" customWidth="1"/>
    <col min="2" max="2" width="14.140625" customWidth="1"/>
  </cols>
  <sheetData>
    <row r="1" spans="1:2" ht="18.75" x14ac:dyDescent="0.3">
      <c r="A1" s="34" t="s">
        <v>62</v>
      </c>
      <c r="B1" s="34"/>
    </row>
    <row r="2" spans="1:2" x14ac:dyDescent="0.25">
      <c r="A2" t="s">
        <v>78</v>
      </c>
    </row>
    <row r="4" spans="1:2" ht="18.75" x14ac:dyDescent="0.3">
      <c r="A4" s="34" t="s">
        <v>63</v>
      </c>
      <c r="B4" s="34"/>
    </row>
    <row r="6" spans="1:2" x14ac:dyDescent="0.25">
      <c r="A6" t="s">
        <v>64</v>
      </c>
      <c r="B6" s="8">
        <v>4.7899999999999998E-2</v>
      </c>
    </row>
    <row r="7" spans="1:2" x14ac:dyDescent="0.25">
      <c r="A7" t="s">
        <v>65</v>
      </c>
      <c r="B7" s="7">
        <v>1.56</v>
      </c>
    </row>
    <row r="8" spans="1:2" x14ac:dyDescent="0.25">
      <c r="A8" t="s">
        <v>66</v>
      </c>
      <c r="B8" s="8">
        <v>0.05</v>
      </c>
    </row>
    <row r="9" spans="1:2" x14ac:dyDescent="0.25">
      <c r="A9" s="20" t="s">
        <v>63</v>
      </c>
      <c r="B9" s="23">
        <f>B6+(B7*B8)</f>
        <v>0.12590000000000001</v>
      </c>
    </row>
    <row r="11" spans="1:2" ht="18.75" x14ac:dyDescent="0.3">
      <c r="A11" s="34" t="s">
        <v>67</v>
      </c>
      <c r="B11" s="34"/>
    </row>
    <row r="12" spans="1:2" x14ac:dyDescent="0.25">
      <c r="A12" s="1"/>
    </row>
    <row r="13" spans="1:2" x14ac:dyDescent="0.25">
      <c r="A13" t="s">
        <v>81</v>
      </c>
      <c r="B13" s="24">
        <v>1390</v>
      </c>
    </row>
    <row r="14" spans="1:2" x14ac:dyDescent="0.25">
      <c r="A14" t="s">
        <v>82</v>
      </c>
      <c r="B14" s="24">
        <v>1262</v>
      </c>
    </row>
    <row r="15" spans="1:2" x14ac:dyDescent="0.25">
      <c r="A15" t="s">
        <v>83</v>
      </c>
      <c r="B15" s="24">
        <v>88.287000000000006</v>
      </c>
    </row>
    <row r="16" spans="1:2" x14ac:dyDescent="0.25">
      <c r="A16" t="s">
        <v>80</v>
      </c>
      <c r="B16" s="2">
        <f>AVERAGE(B13,B14)</f>
        <v>1326</v>
      </c>
    </row>
    <row r="17" spans="1:2" x14ac:dyDescent="0.25">
      <c r="A17" s="18" t="s">
        <v>68</v>
      </c>
      <c r="B17" s="23">
        <f>B15/B16</f>
        <v>6.6581447963800916E-2</v>
      </c>
    </row>
    <row r="18" spans="1:2" x14ac:dyDescent="0.25">
      <c r="A18" t="s">
        <v>26</v>
      </c>
      <c r="B18" s="13">
        <f>Assumptions!B21</f>
        <v>0.23</v>
      </c>
    </row>
    <row r="19" spans="1:2" x14ac:dyDescent="0.25">
      <c r="A19" s="20" t="s">
        <v>69</v>
      </c>
      <c r="B19" s="22">
        <f>B17*(1-B18)</f>
        <v>5.1267714932126708E-2</v>
      </c>
    </row>
    <row r="21" spans="1:2" ht="18.75" x14ac:dyDescent="0.3">
      <c r="A21" s="34" t="s">
        <v>70</v>
      </c>
      <c r="B21" s="34"/>
    </row>
    <row r="23" spans="1:2" x14ac:dyDescent="0.25">
      <c r="A23" t="s">
        <v>71</v>
      </c>
      <c r="B23" s="33">
        <v>85.52</v>
      </c>
    </row>
    <row r="24" spans="1:2" x14ac:dyDescent="0.25">
      <c r="A24" t="s">
        <v>72</v>
      </c>
      <c r="B24" s="25">
        <v>50.2</v>
      </c>
    </row>
    <row r="25" spans="1:2" x14ac:dyDescent="0.25">
      <c r="A25" t="s">
        <v>73</v>
      </c>
      <c r="B25" s="26">
        <f>B23*B24</f>
        <v>4293.1040000000003</v>
      </c>
    </row>
    <row r="26" spans="1:2" x14ac:dyDescent="0.25">
      <c r="A26" t="s">
        <v>74</v>
      </c>
      <c r="B26" s="26">
        <f>B25+B14</f>
        <v>5555.1040000000003</v>
      </c>
    </row>
    <row r="27" spans="1:2" x14ac:dyDescent="0.25">
      <c r="A27" t="s">
        <v>75</v>
      </c>
      <c r="B27" s="6">
        <f>B25/B26</f>
        <v>0.77282153493435946</v>
      </c>
    </row>
    <row r="28" spans="1:2" x14ac:dyDescent="0.25">
      <c r="A28" t="s">
        <v>76</v>
      </c>
      <c r="B28" s="6">
        <f>B14/B26</f>
        <v>0.22717846506564052</v>
      </c>
    </row>
    <row r="30" spans="1:2" x14ac:dyDescent="0.25">
      <c r="A30" s="20" t="s">
        <v>77</v>
      </c>
      <c r="B30" s="22">
        <f>(B27*B9)+(B28*B19)</f>
        <v>0.10894515203393923</v>
      </c>
    </row>
    <row r="32" spans="1:2" ht="60" x14ac:dyDescent="0.25">
      <c r="A32" s="58" t="s">
        <v>145</v>
      </c>
      <c r="B32" s="12"/>
    </row>
  </sheetData>
  <mergeCells count="4">
    <mergeCell ref="A1:B1"/>
    <mergeCell ref="A4:B4"/>
    <mergeCell ref="A11:B11"/>
    <mergeCell ref="A21:B2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6FE70-5DC1-408C-BCF9-3E50C108EB44}">
  <dimension ref="A1:G17"/>
  <sheetViews>
    <sheetView showGridLines="0" workbookViewId="0">
      <selection activeCell="E18" sqref="E18"/>
    </sheetView>
  </sheetViews>
  <sheetFormatPr defaultRowHeight="15" x14ac:dyDescent="0.25"/>
  <cols>
    <col min="1" max="1" width="42.85546875" bestFit="1" customWidth="1"/>
    <col min="2" max="2" width="13.7109375" customWidth="1"/>
    <col min="3" max="3" width="20.7109375" bestFit="1" customWidth="1"/>
  </cols>
  <sheetData>
    <row r="1" spans="1:7" ht="35.1" customHeight="1" x14ac:dyDescent="0.25">
      <c r="A1" s="49" t="s">
        <v>115</v>
      </c>
      <c r="B1" s="49"/>
      <c r="C1" s="49"/>
      <c r="D1" s="49"/>
      <c r="E1" s="49"/>
      <c r="F1" s="49"/>
      <c r="G1" s="49"/>
    </row>
    <row r="4" spans="1:7" x14ac:dyDescent="0.25">
      <c r="A4" s="1" t="s">
        <v>116</v>
      </c>
    </row>
    <row r="6" spans="1:7" x14ac:dyDescent="0.25">
      <c r="C6" s="48" t="s">
        <v>91</v>
      </c>
      <c r="D6" s="48"/>
      <c r="E6" s="48"/>
      <c r="F6" s="48"/>
      <c r="G6" s="48"/>
    </row>
    <row r="7" spans="1:7" x14ac:dyDescent="0.25">
      <c r="B7" s="10" t="s">
        <v>117</v>
      </c>
    </row>
    <row r="8" spans="1:7" x14ac:dyDescent="0.25">
      <c r="B8" s="35">
        <f>'FCF &amp; DCF'!B44</f>
        <v>144.90524114162304</v>
      </c>
      <c r="C8" s="37">
        <v>1.4999999999999999E-2</v>
      </c>
      <c r="D8" s="38">
        <v>0.02</v>
      </c>
      <c r="E8" s="38">
        <v>2.5000000000000001E-2</v>
      </c>
      <c r="F8" s="38">
        <v>0.03</v>
      </c>
      <c r="G8" s="39">
        <v>3.5000000000000003E-2</v>
      </c>
    </row>
    <row r="9" spans="1:7" x14ac:dyDescent="0.25">
      <c r="B9" s="36">
        <v>9.8900000000000002E-2</v>
      </c>
      <c r="C9" s="40">
        <v>150.50583621903706</v>
      </c>
      <c r="D9" s="41">
        <v>158.55082912974302</v>
      </c>
      <c r="E9" s="41">
        <v>167.68445436936722</v>
      </c>
      <c r="F9" s="41">
        <v>178.14371462199927</v>
      </c>
      <c r="G9" s="42">
        <v>190.23979181557533</v>
      </c>
    </row>
    <row r="10" spans="1:7" x14ac:dyDescent="0.25">
      <c r="B10" s="36">
        <v>0.10390000000000001</v>
      </c>
      <c r="C10" s="40">
        <v>140.70908135933587</v>
      </c>
      <c r="D10" s="41">
        <v>147.7206415750623</v>
      </c>
      <c r="E10" s="41">
        <v>155.62086594994287</v>
      </c>
      <c r="F10" s="41">
        <v>164.59013286540269</v>
      </c>
      <c r="G10" s="42">
        <v>174.86118017497859</v>
      </c>
    </row>
    <row r="11" spans="1:7" x14ac:dyDescent="0.25">
      <c r="B11" s="36">
        <v>0.1089</v>
      </c>
      <c r="C11" s="40">
        <v>131.95684702705842</v>
      </c>
      <c r="D11" s="41">
        <v>138.10947189036992</v>
      </c>
      <c r="E11" s="43">
        <v>144.99542510449322</v>
      </c>
      <c r="F11" s="41">
        <v>152.75412270570448</v>
      </c>
      <c r="G11" s="42">
        <v>161.56271172791853</v>
      </c>
    </row>
    <row r="12" spans="1:7" x14ac:dyDescent="0.25">
      <c r="B12" s="36">
        <v>0.1139</v>
      </c>
      <c r="C12" s="40">
        <v>124.09068524486624</v>
      </c>
      <c r="D12" s="41">
        <v>129.52257095609127</v>
      </c>
      <c r="E12" s="41">
        <v>135.56546743348326</v>
      </c>
      <c r="F12" s="41">
        <v>142.32861378899122</v>
      </c>
      <c r="G12" s="42">
        <v>149.94893965723776</v>
      </c>
    </row>
    <row r="13" spans="1:7" x14ac:dyDescent="0.25">
      <c r="B13" s="36">
        <v>0.11890000000000001</v>
      </c>
      <c r="C13" s="44">
        <v>116.98264886198936</v>
      </c>
      <c r="D13" s="45">
        <v>121.80457316985544</v>
      </c>
      <c r="E13" s="45">
        <v>127.14001444341544</v>
      </c>
      <c r="F13" s="45">
        <v>133.0756178399856</v>
      </c>
      <c r="G13" s="46">
        <v>139.71868290480006</v>
      </c>
    </row>
    <row r="16" spans="1:7" x14ac:dyDescent="0.25">
      <c r="A16" s="47" t="s">
        <v>135</v>
      </c>
      <c r="B16" s="6"/>
    </row>
    <row r="17" spans="2:2" x14ac:dyDescent="0.25">
      <c r="B17" s="6"/>
    </row>
  </sheetData>
  <mergeCells count="2">
    <mergeCell ref="A1:G1"/>
    <mergeCell ref="C6:G6"/>
  </mergeCells>
  <conditionalFormatting sqref="C9:G13">
    <cfRule type="colorScale" priority="1">
      <colorScale>
        <cfvo type="min"/>
        <cfvo type="percentile" val="50"/>
        <cfvo type="max"/>
        <color theme="3" tint="0.749992370372631"/>
        <color theme="0"/>
        <color theme="3" tint="0.249977111117893"/>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BC23-91A3-4871-881E-DC68B029CC43}">
  <dimension ref="A1:F25"/>
  <sheetViews>
    <sheetView showGridLines="0" workbookViewId="0">
      <selection activeCell="E9" sqref="E9"/>
    </sheetView>
  </sheetViews>
  <sheetFormatPr defaultRowHeight="15" x14ac:dyDescent="0.25"/>
  <cols>
    <col min="1" max="1" width="44" bestFit="1" customWidth="1"/>
  </cols>
  <sheetData>
    <row r="1" spans="1:2" ht="35.1" customHeight="1" x14ac:dyDescent="0.25">
      <c r="A1" s="49" t="s">
        <v>120</v>
      </c>
      <c r="B1" s="49"/>
    </row>
    <row r="2" spans="1:2" x14ac:dyDescent="0.25">
      <c r="A2" s="32" t="s">
        <v>131</v>
      </c>
      <c r="B2" s="32"/>
    </row>
    <row r="4" spans="1:2" x14ac:dyDescent="0.25">
      <c r="A4" s="50" t="s">
        <v>121</v>
      </c>
      <c r="B4" s="50"/>
    </row>
    <row r="6" spans="1:2" x14ac:dyDescent="0.25">
      <c r="A6" t="s">
        <v>122</v>
      </c>
      <c r="B6" s="51">
        <f>'FCF &amp; DCF'!B44</f>
        <v>144.90524114162304</v>
      </c>
    </row>
    <row r="7" spans="1:2" x14ac:dyDescent="0.25">
      <c r="A7" t="s">
        <v>124</v>
      </c>
      <c r="B7" s="30">
        <f>'FCF &amp; DCF'!B46</f>
        <v>85.52</v>
      </c>
    </row>
    <row r="8" spans="1:2" x14ac:dyDescent="0.25">
      <c r="A8" t="s">
        <v>123</v>
      </c>
      <c r="B8" s="52">
        <f>'FCF &amp; DCF'!B47</f>
        <v>0.69440179071121433</v>
      </c>
    </row>
    <row r="11" spans="1:2" x14ac:dyDescent="0.25">
      <c r="A11" s="50" t="s">
        <v>125</v>
      </c>
      <c r="B11" s="50"/>
    </row>
    <row r="13" spans="1:2" x14ac:dyDescent="0.25">
      <c r="A13" t="s">
        <v>126</v>
      </c>
      <c r="B13" s="13">
        <f>'FCF &amp; DCF'!B23</f>
        <v>0.10894515203393923</v>
      </c>
    </row>
    <row r="14" spans="1:2" x14ac:dyDescent="0.25">
      <c r="A14" t="s">
        <v>127</v>
      </c>
      <c r="B14" s="13">
        <f>'FCF &amp; DCF'!B29</f>
        <v>2.5000000000000001E-2</v>
      </c>
    </row>
    <row r="15" spans="1:2" x14ac:dyDescent="0.25">
      <c r="A15" t="s">
        <v>128</v>
      </c>
      <c r="B15" s="13">
        <f>Assumptions!F20</f>
        <v>0.22500000000000001</v>
      </c>
    </row>
    <row r="16" spans="1:2" x14ac:dyDescent="0.25">
      <c r="A16" t="s">
        <v>129</v>
      </c>
      <c r="B16" s="12">
        <f>'Income Statement'!G6</f>
        <v>4561.8560586355616</v>
      </c>
    </row>
    <row r="17" spans="1:6" x14ac:dyDescent="0.25">
      <c r="A17" t="s">
        <v>130</v>
      </c>
      <c r="B17" s="53">
        <f>'FCF &amp; DCF'!B52</f>
        <v>8.5314856917138719</v>
      </c>
    </row>
    <row r="20" spans="1:6" x14ac:dyDescent="0.25">
      <c r="A20" s="54" t="s">
        <v>132</v>
      </c>
      <c r="B20" s="54"/>
    </row>
    <row r="21" spans="1:6" ht="45" customHeight="1" x14ac:dyDescent="0.25">
      <c r="A21" s="57" t="s">
        <v>146</v>
      </c>
      <c r="B21" s="57"/>
      <c r="C21" s="57"/>
      <c r="D21" s="57"/>
      <c r="E21" s="56"/>
      <c r="F21" s="56"/>
    </row>
    <row r="22" spans="1:6" ht="75" customHeight="1" x14ac:dyDescent="0.25">
      <c r="A22" s="57" t="s">
        <v>134</v>
      </c>
      <c r="B22" s="57"/>
      <c r="C22" s="57"/>
      <c r="D22" s="57"/>
      <c r="E22" s="56"/>
      <c r="F22" s="56"/>
    </row>
    <row r="23" spans="1:6" ht="75" customHeight="1" x14ac:dyDescent="0.25">
      <c r="A23" s="57" t="s">
        <v>133</v>
      </c>
      <c r="B23" s="57"/>
      <c r="C23" s="57"/>
      <c r="D23" s="57"/>
      <c r="E23" s="56"/>
      <c r="F23" s="56"/>
    </row>
    <row r="25" spans="1:6" ht="75" x14ac:dyDescent="0.25">
      <c r="A25" s="58" t="s">
        <v>147</v>
      </c>
    </row>
  </sheetData>
  <mergeCells count="6">
    <mergeCell ref="A23:D23"/>
    <mergeCell ref="A1:B1"/>
    <mergeCell ref="A2:B2"/>
    <mergeCell ref="A20:B20"/>
    <mergeCell ref="A21:D21"/>
    <mergeCell ref="A22:D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8691C6AF2BF5459EF95A29FA250A08" ma:contentTypeVersion="6" ma:contentTypeDescription="Create a new document." ma:contentTypeScope="" ma:versionID="665d8ec7bbee17eda6cedc65f346e2e7">
  <xsd:schema xmlns:xsd="http://www.w3.org/2001/XMLSchema" xmlns:xs="http://www.w3.org/2001/XMLSchema" xmlns:p="http://schemas.microsoft.com/office/2006/metadata/properties" xmlns:ns3="e9ec18aa-47bd-4397-855f-40d4f0f7bb16" targetNamespace="http://schemas.microsoft.com/office/2006/metadata/properties" ma:root="true" ma:fieldsID="4981e817c4680e503a62b614f6c6f4f1" ns3:_="">
    <xsd:import namespace="e9ec18aa-47bd-4397-855f-40d4f0f7bb16"/>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ec18aa-47bd-4397-855f-40d4f0f7bb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9ec18aa-47bd-4397-855f-40d4f0f7bb16" xsi:nil="true"/>
  </documentManagement>
</p:properties>
</file>

<file path=customXml/itemProps1.xml><?xml version="1.0" encoding="utf-8"?>
<ds:datastoreItem xmlns:ds="http://schemas.openxmlformats.org/officeDocument/2006/customXml" ds:itemID="{CEC83972-B8C9-4FE3-BE26-CAEE61652240}">
  <ds:schemaRefs>
    <ds:schemaRef ds:uri="http://schemas.microsoft.com/sharepoint/v3/contenttype/forms"/>
  </ds:schemaRefs>
</ds:datastoreItem>
</file>

<file path=customXml/itemProps2.xml><?xml version="1.0" encoding="utf-8"?>
<ds:datastoreItem xmlns:ds="http://schemas.openxmlformats.org/officeDocument/2006/customXml" ds:itemID="{E12CE3A8-4584-4161-B7C0-A9D267628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ec18aa-47bd-4397-855f-40d4f0f7bb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1ED739-4A79-427F-A3A5-3A133A58065F}">
  <ds:schemaRefs>
    <ds:schemaRef ds:uri="e9ec18aa-47bd-4397-855f-40d4f0f7bb16"/>
    <ds:schemaRef ds:uri="http://schemas.microsoft.com/office/2006/documentManagement/types"/>
    <ds:schemaRef ds:uri="http://schemas.microsoft.com/office/2006/metadata/properties"/>
    <ds:schemaRef ds:uri="http://purl.org/dc/terms/"/>
    <ds:schemaRef ds:uri="http://purl.org/dc/elements/1.1/"/>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Assumptions</vt:lpstr>
      <vt:lpstr>Income Statement</vt:lpstr>
      <vt:lpstr>FCF &amp; DCF</vt:lpstr>
      <vt:lpstr>WACC</vt:lpstr>
      <vt:lpstr>Sensitivity Analysis</vt:lpstr>
      <vt:lpstr>Valuation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Chen</dc:creator>
  <cp:lastModifiedBy>Henry Chen</cp:lastModifiedBy>
  <dcterms:created xsi:type="dcterms:W3CDTF">2026-10-08T22:22:01Z</dcterms:created>
  <dcterms:modified xsi:type="dcterms:W3CDTF">2026-10-10T23:50:33Z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0x010100978691C6AF2BF5459EF95A29FA250A08</vt:lpwstr>
  </property>
</Properties>
</file>